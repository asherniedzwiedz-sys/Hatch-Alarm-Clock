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her\AppData\Local\Temp\"/>
    </mc:Choice>
  </mc:AlternateContent>
  <xr:revisionPtr revIDLastSave="0" documentId="13_ncr:1_{35999A17-B4D0-4AE3-94BA-9A056BA8036E}" xr6:coauthVersionLast="47" xr6:coauthVersionMax="47" xr10:uidLastSave="{00000000-0000-0000-0000-000000000000}"/>
  <bookViews>
    <workbookView xWindow="1520" yWindow="1520" windowWidth="19200" windowHeight="11170" xr2:uid="{00000000-000D-0000-FFFF-FFFF00000000}"/>
  </bookViews>
  <sheets>
    <sheet name="Parts" sheetId="1" r:id="rId1"/>
  </sheets>
  <definedNames>
    <definedName name="_xlnm.Print_Titles" localSheetId="0">Parts!$4:$4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1" l="1"/>
  <c r="J23" i="1"/>
  <c r="G20" i="1"/>
  <c r="G24" i="1" s="1"/>
  <c r="D20" i="1"/>
  <c r="D24" i="1" s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J5" i="1"/>
  <c r="J20" i="1" s="1"/>
  <c r="J24" i="1" s="1"/>
  <c r="L20" i="1" l="1"/>
  <c r="L2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Sunrise Clock</author>
  </authors>
  <commentList>
    <comment ref="J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Positive = AliExpress is cheaper by this much.</t>
        </r>
      </text>
    </comment>
  </commentList>
</comments>
</file>

<file path=xl/sharedStrings.xml><?xml version="1.0" encoding="utf-8"?>
<sst xmlns="http://schemas.openxmlformats.org/spreadsheetml/2006/main" count="157" uniqueCount="129">
  <si>
    <t>Sunrise Clock: parts, Amazon vs AliExpress</t>
  </si>
  <si>
    <t>One clock, every function. Prices checked 2026-10-20 on amazon.com and aliexpress.us (AliExpress: regular price, not the one-time new-shopper deal). Prices change. ESP32 and PLA not included (you have them).</t>
  </si>
  <si>
    <t>Part</t>
  </si>
  <si>
    <t>Qty</t>
  </si>
  <si>
    <t>Amazon listing</t>
  </si>
  <si>
    <t>Amazon $</t>
  </si>
  <si>
    <t>Amazon quality</t>
  </si>
  <si>
    <t>AliExpress listing</t>
  </si>
  <si>
    <t>AliExpress $</t>
  </si>
  <si>
    <t>AliExpress quality</t>
  </si>
  <si>
    <t>AliExpress option to pick</t>
  </si>
  <si>
    <t>Amazon − AliExpress</t>
  </si>
  <si>
    <t>My pick</t>
  </si>
  <si>
    <t>My price</t>
  </si>
  <si>
    <t>Notes</t>
  </si>
  <si>
    <t>LED strip, WS2812B, 1 m, 10 mm wide</t>
  </si>
  <si>
    <t>BTF-Lighting 100 LED/m IP30</t>
  </si>
  <si>
    <t>4.6★</t>
  </si>
  <si>
    <t>ANTVLED 96 LED/m IP30</t>
  </si>
  <si>
    <t>4.8★, 5,000+ sold</t>
  </si>
  <si>
    <t>1m 96 IP30</t>
  </si>
  <si>
    <t>AliExpress</t>
  </si>
  <si>
    <t>BTF is a known brand, consistent color. Ali store 94.8% positive. Both strips fit the channels.</t>
  </si>
  <si>
    <t>74AHCT125 level shifter (DIP-14)</t>
  </si>
  <si>
    <t>10 pcs</t>
  </si>
  <si>
    <t>4.7★</t>
  </si>
  <si>
    <t>5 pcs</t>
  </si>
  <si>
    <t>4.9★, 2,000+ sold</t>
  </si>
  <si>
    <t>Cheap chips can be relabeled 74HC parts that won't shift 3.3 V to 5 V. First suspect if the LEDs flicker.</t>
  </si>
  <si>
    <t>470 Ω resistor</t>
  </si>
  <si>
    <t>California JOS 100 pcs</t>
  </si>
  <si>
    <t>5.0★</t>
  </si>
  <si>
    <t>100 pcs metal film</t>
  </si>
  <si>
    <t>550 sold</t>
  </si>
  <si>
    <t>470R</t>
  </si>
  <si>
    <t>Same part</t>
  </si>
  <si>
    <t>1000 µF 16 V capacitor</t>
  </si>
  <si>
    <t>10 pcs, low ESR</t>
  </si>
  <si>
    <t>4.8★</t>
  </si>
  <si>
    <t>DIP electrolytic</t>
  </si>
  <si>
    <t>16V 1000uF</t>
  </si>
  <si>
    <t>MAX98357A I2S amplifier</t>
  </si>
  <si>
    <t>2 pcs</t>
  </si>
  <si>
    <t>4.5★</t>
  </si>
  <si>
    <t>1 pc</t>
  </si>
  <si>
    <t>4.8★, 4,000+ sold</t>
  </si>
  <si>
    <t>Same board design</t>
  </si>
  <si>
    <t>Speaker, 2" 4 Ω 3 W</t>
  </si>
  <si>
    <t>Gikfun EK1725, 2 pcs</t>
  </si>
  <si>
    <t>4.3★, 776 reviews</t>
  </si>
  <si>
    <t>SOTAMIA 50 mm, 2 pcs</t>
  </si>
  <si>
    <t>528 sold</t>
  </si>
  <si>
    <t>4 Ohm 3W</t>
  </si>
  <si>
    <t>Amazon</t>
  </si>
  <si>
    <t>Gikfun is better proven. Both fit the seat (glue it in).</t>
  </si>
  <si>
    <t>DS3231 RTC (ZS-042)</t>
  </si>
  <si>
    <t>2 pcs + jumper wires</t>
  </si>
  <si>
    <t>4.4★</t>
  </si>
  <si>
    <t>4.9★, 900+ sold</t>
  </si>
  <si>
    <t>DS3231SN</t>
  </si>
  <si>
    <t>DS3231M chips are less accurate but still work. Remove the charging resistor for a CR2032.</t>
  </si>
  <si>
    <t>KY-040 rotary encoder</t>
  </si>
  <si>
    <t>1 pc + knob</t>
  </si>
  <si>
    <t>4.7★, 1,000+ sold</t>
  </si>
  <si>
    <t>Same module, with the pull-ups GPIO34/35 need</t>
  </si>
  <si>
    <t>12 mm momentary push buttons</t>
  </si>
  <si>
    <t>Gebildet 5 pcs (pick Flat Head)</t>
  </si>
  <si>
    <t>4.6★, 981 reviews</t>
  </si>
  <si>
    <t>1 pc each, price for 2</t>
  </si>
  <si>
    <t>90 sold</t>
  </si>
  <si>
    <t>Momentary</t>
  </si>
  <si>
    <t>Amazon's are much better reviewed. Weakest AliExpress listing.</t>
  </si>
  <si>
    <t>USB-C power input, dual 5.1 kΩ</t>
  </si>
  <si>
    <t>eleUniverse 2 pcs</t>
  </si>
  <si>
    <t>no reviews yet</t>
  </si>
  <si>
    <t>dual 5.1K board</t>
  </si>
  <si>
    <t>4.8★, 2,000+ sold</t>
  </si>
  <si>
    <t>AliExpress listing is the proven one here</t>
  </si>
  <si>
    <t>HLK-LD2410C sleep radar</t>
  </si>
  <si>
    <t>AEDIKO 2 pcs</t>
  </si>
  <si>
    <t>4.6★, 9 reviews</t>
  </si>
  <si>
    <t>571 sold</t>
  </si>
  <si>
    <t>Same Hi-Link module. Pocket is 22 × 16 mm: measure yours.</t>
  </si>
  <si>
    <t>Jumper wires, female-female</t>
  </si>
  <si>
    <t>40 pcs, 20 cm</t>
  </si>
  <si>
    <t>40 pin</t>
  </si>
  <si>
    <t>F-F 20cm</t>
  </si>
  <si>
    <t>Same</t>
  </si>
  <si>
    <t>Protoboards</t>
  </si>
  <si>
    <t>58 pcs kit + headers</t>
  </si>
  <si>
    <t>560 sold</t>
  </si>
  <si>
    <t>3x7cm</t>
  </si>
  <si>
    <t>Amazon kit includes headers and terminals</t>
  </si>
  <si>
    <t>M3 heat-set inserts</t>
  </si>
  <si>
    <t>100 pcs, M3 × 5.7 × 4.6</t>
  </si>
  <si>
    <t>brass inserts</t>
  </si>
  <si>
    <t>54,000+ sold</t>
  </si>
  <si>
    <t>M3 x 5.7 x 4.6</t>
  </si>
  <si>
    <t>Amazon's size is confirmed; on Ali pick M3 × 5.7 × 4.6 if offered</t>
  </si>
  <si>
    <t>M3 countersunk screws</t>
  </si>
  <si>
    <t>630 pcs kit</t>
  </si>
  <si>
    <t>4.3★</t>
  </si>
  <si>
    <t>kit</t>
  </si>
  <si>
    <t>4.8★, 1,000+ sold</t>
  </si>
  <si>
    <t>M3</t>
  </si>
  <si>
    <t>Total (core build)</t>
  </si>
  <si>
    <t>My price = your mix. Default: AliExpress, except the speaker and buttons from Amazon.</t>
  </si>
  <si>
    <t>Optional</t>
  </si>
  <si>
    <t>BH1750 light sensor (auto-dim, optional)</t>
  </si>
  <si>
    <t>HiLetgo 3 pcs</t>
  </si>
  <si>
    <t>516 sold</t>
  </si>
  <si>
    <t>Only needed for auto-dim</t>
  </si>
  <si>
    <t>Total with optional parts</t>
  </si>
  <si>
    <t>Same on both sites (not in the totals)</t>
  </si>
  <si>
    <t>Dot-matrix clock: Adafruit 0.8" 8x16 LED Matrix FeatherWing kit, white</t>
  </si>
  <si>
    <t>adafruit.com, plus shipping. Neither site had a good match.</t>
  </si>
  <si>
    <t>…or the yellow version (cheaper)</t>
  </si>
  <si>
    <t>adafruit.com, plus shipping</t>
  </si>
  <si>
    <t>5 V 3 A USB-C power supply</t>
  </si>
  <si>
    <t>Free if you have a USB-C phone charger that does 5 V 3 A</t>
  </si>
  <si>
    <t>Fabric: muslin, 1.3 yd</t>
  </si>
  <si>
    <t>Free with an old linen shirt or pillowcase. Hold it up to a lamp: it should glow.</t>
  </si>
  <si>
    <t>CR2032 coin cells, 24 pack</t>
  </si>
  <si>
    <t>Free if you have one at home</t>
  </si>
  <si>
    <t>How to use</t>
  </si>
  <si>
    <t>Yellow cells (My pick): choose Amazon, AliExpress or None from the dropdown. My price and its total update.</t>
  </si>
  <si>
    <t>Blue numbers are prices typed in from the listings on 2026-10-20; black numbers are formulas.</t>
  </si>
  <si>
    <t>Click a listing name to open it. On AliExpress, choose the option in the 'AliExpress option to pick' column.</t>
  </si>
  <si>
    <t>Quality: most are the same boards on both sites. Amazon = fast, free returns, spares. AliExpress = ~60% cheaper, test parts on arrival.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</si>
</sst>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\(\$#,##0.00\);&quot;-&quot;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sz val="11"/>
      <name val="Arial"/>
    </font>
    <font>
      <u/>
      <sz val="11"/>
      <color rgb="FF0563C1"/>
      <name val="Arial"/>
    </font>
    <font>
      <sz val="11"/>
      <color rgb="FF0000FF"/>
      <name val="Arial"/>
    </font>
    <font>
      <b/>
      <sz val="11"/>
      <name val="Arial"/>
    </font>
    <font>
      <i/>
      <sz val="9"/>
      <name val="Arial"/>
    </font>
    <font>
      <b/>
      <sz val="11"/>
      <name val="Arial"/>
    </font>
    <font>
      <b/>
      <sz val="10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2F3B4C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/>
    <xf numFmtId="0" fontId="0" fillId="4" borderId="1" xfId="0" applyFill="1" applyBorder="1"/>
    <xf numFmtId="164" fontId="7" fillId="4" borderId="1" xfId="0" applyNumberFormat="1" applyFont="1" applyFill="1" applyBorder="1"/>
    <xf numFmtId="0" fontId="8" fillId="4" borderId="1" xfId="0" applyFont="1" applyFill="1" applyBorder="1"/>
    <xf numFmtId="0" fontId="9" fillId="0" borderId="0" xfId="0" applyFont="1"/>
    <xf numFmtId="0" fontId="0" fillId="0" borderId="1" xfId="0" applyBorder="1" applyAlignment="1">
      <alignment vertical="top" wrapText="1"/>
    </xf>
    <xf numFmtId="0" fontId="10" fillId="0" borderId="0" xfId="0" applyFont="1"/>
    <xf numFmtId="0" fontId="11" fillId="0" borderId="0" xfId="0" applyFont="1"/>
    <xf numFmtId="0" fontId="2" fillId="0" borderId="0" xfId="0" applyFont="1"/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dp/B09LLMYBM1" TargetMode="External"/><Relationship Id="rId18" Type="http://schemas.openxmlformats.org/officeDocument/2006/relationships/hyperlink" Target="https://www.aliexpress.us/item/2251832630370510.html" TargetMode="External"/><Relationship Id="rId26" Type="http://schemas.openxmlformats.org/officeDocument/2006/relationships/hyperlink" Target="https://www.aliexpress.us/item/3256808585524708.html" TargetMode="External"/><Relationship Id="rId39" Type="http://schemas.openxmlformats.org/officeDocument/2006/relationships/comments" Target="../comments1.xml"/><Relationship Id="rId21" Type="http://schemas.openxmlformats.org/officeDocument/2006/relationships/hyperlink" Target="https://www.amazon.com/dp/B0GQYYTJPS" TargetMode="External"/><Relationship Id="rId34" Type="http://schemas.openxmlformats.org/officeDocument/2006/relationships/hyperlink" Target="https://www.adafruit.com/product/3153" TargetMode="External"/><Relationship Id="rId7" Type="http://schemas.openxmlformats.org/officeDocument/2006/relationships/hyperlink" Target="https://www.amazon.com/dp/B0D78PBK4K" TargetMode="External"/><Relationship Id="rId12" Type="http://schemas.openxmlformats.org/officeDocument/2006/relationships/hyperlink" Target="https://www.aliexpress.us/item/3256808046771474.html" TargetMode="External"/><Relationship Id="rId17" Type="http://schemas.openxmlformats.org/officeDocument/2006/relationships/hyperlink" Target="https://www.amazon.com/dp/B08L49F7DV" TargetMode="External"/><Relationship Id="rId25" Type="http://schemas.openxmlformats.org/officeDocument/2006/relationships/hyperlink" Target="https://www.amazon.com/dp/B0CKZ7GFSK" TargetMode="External"/><Relationship Id="rId33" Type="http://schemas.openxmlformats.org/officeDocument/2006/relationships/hyperlink" Target="https://www.adafruit.com/product/3149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www.aliexpress.us/item/3256807796309465.html" TargetMode="External"/><Relationship Id="rId16" Type="http://schemas.openxmlformats.org/officeDocument/2006/relationships/hyperlink" Target="https://www.aliexpress.us/item/2255800145982269.html" TargetMode="External"/><Relationship Id="rId20" Type="http://schemas.openxmlformats.org/officeDocument/2006/relationships/hyperlink" Target="https://www.aliexpress.us/item/3256807162617616.html" TargetMode="External"/><Relationship Id="rId29" Type="http://schemas.openxmlformats.org/officeDocument/2006/relationships/hyperlink" Target="https://www.amazon.com/dp/B0F8HPFXX5" TargetMode="External"/><Relationship Id="rId1" Type="http://schemas.openxmlformats.org/officeDocument/2006/relationships/hyperlink" Target="https://www.amazon.com/dp/B088B8G8LD" TargetMode="External"/><Relationship Id="rId6" Type="http://schemas.openxmlformats.org/officeDocument/2006/relationships/hyperlink" Target="https://www.aliexpress.us/item/3256809879566136.html" TargetMode="External"/><Relationship Id="rId11" Type="http://schemas.openxmlformats.org/officeDocument/2006/relationships/hyperlink" Target="https://www.amazon.com/dp/B01CHYIU26" TargetMode="External"/><Relationship Id="rId24" Type="http://schemas.openxmlformats.org/officeDocument/2006/relationships/hyperlink" Target="https://www.aliexpress.us/item/3256812379729214.html" TargetMode="External"/><Relationship Id="rId32" Type="http://schemas.openxmlformats.org/officeDocument/2006/relationships/hyperlink" Target="https://www.aliexpress.us/item/3256812166809412.html" TargetMode="External"/><Relationship Id="rId37" Type="http://schemas.openxmlformats.org/officeDocument/2006/relationships/hyperlink" Target="https://www.amazon.com/dp/B0F28618FV" TargetMode="External"/><Relationship Id="rId5" Type="http://schemas.openxmlformats.org/officeDocument/2006/relationships/hyperlink" Target="https://www.amazon.com/dp/B0B4FSVCPT" TargetMode="External"/><Relationship Id="rId15" Type="http://schemas.openxmlformats.org/officeDocument/2006/relationships/hyperlink" Target="https://www.amazon.com/dp/B06XQTHDRR" TargetMode="External"/><Relationship Id="rId23" Type="http://schemas.openxmlformats.org/officeDocument/2006/relationships/hyperlink" Target="https://www.amazon.com/dp/B0BRTJQGS6" TargetMode="External"/><Relationship Id="rId28" Type="http://schemas.openxmlformats.org/officeDocument/2006/relationships/hyperlink" Target="https://www.aliexpress.us/item/3256804349544912.html" TargetMode="External"/><Relationship Id="rId36" Type="http://schemas.openxmlformats.org/officeDocument/2006/relationships/hyperlink" Target="https://www.amazon.com/dp/B0G8HGNHWH" TargetMode="External"/><Relationship Id="rId10" Type="http://schemas.openxmlformats.org/officeDocument/2006/relationships/hyperlink" Target="https://www.aliexpress.us/item/3256807442706139.html" TargetMode="External"/><Relationship Id="rId19" Type="http://schemas.openxmlformats.org/officeDocument/2006/relationships/hyperlink" Target="https://www.amazon.com/dp/B0GR8SNSCQ" TargetMode="External"/><Relationship Id="rId31" Type="http://schemas.openxmlformats.org/officeDocument/2006/relationships/hyperlink" Target="https://www.amazon.com/dp/B00M0F29OS" TargetMode="External"/><Relationship Id="rId4" Type="http://schemas.openxmlformats.org/officeDocument/2006/relationships/hyperlink" Target="https://www.aliexpress.us/item/3256807469514168.html" TargetMode="External"/><Relationship Id="rId9" Type="http://schemas.openxmlformats.org/officeDocument/2006/relationships/hyperlink" Target="https://www.amazon.com/dp/B0DPJRLMDJ" TargetMode="External"/><Relationship Id="rId14" Type="http://schemas.openxmlformats.org/officeDocument/2006/relationships/hyperlink" Target="https://www.aliexpress.us/item/3256810013782326.html" TargetMode="External"/><Relationship Id="rId22" Type="http://schemas.openxmlformats.org/officeDocument/2006/relationships/hyperlink" Target="https://www.aliexpress.us/item/3256811718206907.html" TargetMode="External"/><Relationship Id="rId27" Type="http://schemas.openxmlformats.org/officeDocument/2006/relationships/hyperlink" Target="https://www.amazon.com/dp/B0DQL4ZSCP" TargetMode="External"/><Relationship Id="rId30" Type="http://schemas.openxmlformats.org/officeDocument/2006/relationships/hyperlink" Target="https://www.aliexpress.us/item/3256805779852270.html" TargetMode="External"/><Relationship Id="rId35" Type="http://schemas.openxmlformats.org/officeDocument/2006/relationships/hyperlink" Target="https://www.amazon.com/dp/B09JW4QQJ2" TargetMode="External"/><Relationship Id="rId8" Type="http://schemas.openxmlformats.org/officeDocument/2006/relationships/hyperlink" Target="https://www.aliexpress.us/item/3256811625053645.html" TargetMode="External"/><Relationship Id="rId3" Type="http://schemas.openxmlformats.org/officeDocument/2006/relationships/hyperlink" Target="https://www.amazon.com/dp/B08R6BCSY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7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5" customWidth="1"/>
    <col min="3" max="3" width="28" customWidth="1"/>
    <col min="4" max="4" width="11" customWidth="1"/>
    <col min="5" max="5" width="16" customWidth="1"/>
    <col min="6" max="6" width="24" customWidth="1"/>
    <col min="7" max="7" width="13" customWidth="1"/>
    <col min="8" max="8" width="18" customWidth="1"/>
    <col min="9" max="9" width="17" customWidth="1"/>
    <col min="10" max="10" width="13" customWidth="1"/>
    <col min="11" max="11" width="12" customWidth="1"/>
    <col min="12" max="12" width="11" customWidth="1"/>
    <col min="13" max="13" width="60" customWidth="1"/>
  </cols>
  <sheetData>
    <row r="1" spans="1:13" ht="18" x14ac:dyDescent="0.4">
      <c r="A1" s="1" t="s">
        <v>0</v>
      </c>
    </row>
    <row r="2" spans="1:13" x14ac:dyDescent="0.35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4" spans="1:13" ht="32" customHeight="1" x14ac:dyDescent="0.3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</row>
    <row r="5" spans="1:13" ht="28" x14ac:dyDescent="0.35">
      <c r="A5" s="3" t="s">
        <v>15</v>
      </c>
      <c r="B5" s="3">
        <v>1</v>
      </c>
      <c r="C5" s="4" t="s">
        <v>16</v>
      </c>
      <c r="D5" s="5">
        <v>11.99</v>
      </c>
      <c r="E5" s="3" t="s">
        <v>17</v>
      </c>
      <c r="F5" s="4" t="s">
        <v>18</v>
      </c>
      <c r="G5" s="5">
        <v>4.59</v>
      </c>
      <c r="H5" s="3" t="s">
        <v>19</v>
      </c>
      <c r="I5" s="3" t="s">
        <v>20</v>
      </c>
      <c r="J5" s="6">
        <f t="shared" ref="J5:J19" si="0">D5-G5</f>
        <v>7.4</v>
      </c>
      <c r="K5" s="7" t="s">
        <v>21</v>
      </c>
      <c r="L5" s="6">
        <f t="shared" ref="L5:L19" si="1">IF(K5="Amazon",D5,IF(K5="AliExpress",G5,0))</f>
        <v>4.59</v>
      </c>
      <c r="M5" s="3" t="s">
        <v>22</v>
      </c>
    </row>
    <row r="6" spans="1:13" ht="28" x14ac:dyDescent="0.35">
      <c r="A6" s="3" t="s">
        <v>23</v>
      </c>
      <c r="B6" s="3">
        <v>1</v>
      </c>
      <c r="C6" s="4" t="s">
        <v>24</v>
      </c>
      <c r="D6" s="5">
        <v>7.99</v>
      </c>
      <c r="E6" s="3" t="s">
        <v>25</v>
      </c>
      <c r="F6" s="4" t="s">
        <v>26</v>
      </c>
      <c r="G6" s="5">
        <v>2.41</v>
      </c>
      <c r="H6" s="3" t="s">
        <v>27</v>
      </c>
      <c r="I6" s="3" t="s">
        <v>26</v>
      </c>
      <c r="J6" s="6">
        <f t="shared" si="0"/>
        <v>5.58</v>
      </c>
      <c r="K6" s="7" t="s">
        <v>21</v>
      </c>
      <c r="L6" s="6">
        <f t="shared" si="1"/>
        <v>2.41</v>
      </c>
      <c r="M6" s="3" t="s">
        <v>28</v>
      </c>
    </row>
    <row r="7" spans="1:13" x14ac:dyDescent="0.35">
      <c r="A7" s="3" t="s">
        <v>29</v>
      </c>
      <c r="B7" s="3">
        <v>1</v>
      </c>
      <c r="C7" s="4" t="s">
        <v>30</v>
      </c>
      <c r="D7" s="5">
        <v>3.99</v>
      </c>
      <c r="E7" s="3" t="s">
        <v>31</v>
      </c>
      <c r="F7" s="4" t="s">
        <v>32</v>
      </c>
      <c r="G7" s="5">
        <v>1.84</v>
      </c>
      <c r="H7" s="3" t="s">
        <v>33</v>
      </c>
      <c r="I7" s="3" t="s">
        <v>34</v>
      </c>
      <c r="J7" s="6">
        <f t="shared" si="0"/>
        <v>2.1500000000000004</v>
      </c>
      <c r="K7" s="7" t="s">
        <v>21</v>
      </c>
      <c r="L7" s="6">
        <f t="shared" si="1"/>
        <v>1.84</v>
      </c>
      <c r="M7" s="3" t="s">
        <v>35</v>
      </c>
    </row>
    <row r="8" spans="1:13" x14ac:dyDescent="0.35">
      <c r="A8" s="3" t="s">
        <v>36</v>
      </c>
      <c r="B8" s="3">
        <v>1</v>
      </c>
      <c r="C8" s="4" t="s">
        <v>37</v>
      </c>
      <c r="D8" s="5">
        <v>5.99</v>
      </c>
      <c r="E8" s="3" t="s">
        <v>38</v>
      </c>
      <c r="F8" s="4" t="s">
        <v>39</v>
      </c>
      <c r="G8" s="5">
        <v>2.75</v>
      </c>
      <c r="H8" s="3" t="s">
        <v>19</v>
      </c>
      <c r="I8" s="3" t="s">
        <v>40</v>
      </c>
      <c r="J8" s="6">
        <f t="shared" si="0"/>
        <v>3.24</v>
      </c>
      <c r="K8" s="7" t="s">
        <v>21</v>
      </c>
      <c r="L8" s="6">
        <f t="shared" si="1"/>
        <v>2.75</v>
      </c>
      <c r="M8" s="3" t="s">
        <v>35</v>
      </c>
    </row>
    <row r="9" spans="1:13" x14ac:dyDescent="0.35">
      <c r="A9" s="3" t="s">
        <v>41</v>
      </c>
      <c r="B9" s="3">
        <v>1</v>
      </c>
      <c r="C9" s="4" t="s">
        <v>42</v>
      </c>
      <c r="D9" s="5">
        <v>6.88</v>
      </c>
      <c r="E9" s="3" t="s">
        <v>43</v>
      </c>
      <c r="F9" s="4" t="s">
        <v>44</v>
      </c>
      <c r="G9" s="5">
        <v>2.34</v>
      </c>
      <c r="H9" s="3" t="s">
        <v>45</v>
      </c>
      <c r="I9" s="3"/>
      <c r="J9" s="6">
        <f t="shared" si="0"/>
        <v>4.54</v>
      </c>
      <c r="K9" s="7" t="s">
        <v>21</v>
      </c>
      <c r="L9" s="6">
        <f t="shared" si="1"/>
        <v>2.34</v>
      </c>
      <c r="M9" s="3" t="s">
        <v>46</v>
      </c>
    </row>
    <row r="10" spans="1:13" ht="28" x14ac:dyDescent="0.35">
      <c r="A10" s="3" t="s">
        <v>47</v>
      </c>
      <c r="B10" s="3">
        <v>1</v>
      </c>
      <c r="C10" s="4" t="s">
        <v>48</v>
      </c>
      <c r="D10" s="5">
        <v>11.49</v>
      </c>
      <c r="E10" s="3" t="s">
        <v>49</v>
      </c>
      <c r="F10" s="4" t="s">
        <v>50</v>
      </c>
      <c r="G10" s="5">
        <v>7.34</v>
      </c>
      <c r="H10" s="3" t="s">
        <v>51</v>
      </c>
      <c r="I10" s="3" t="s">
        <v>52</v>
      </c>
      <c r="J10" s="6">
        <f t="shared" si="0"/>
        <v>4.1500000000000004</v>
      </c>
      <c r="K10" s="7" t="s">
        <v>53</v>
      </c>
      <c r="L10" s="6">
        <f t="shared" si="1"/>
        <v>11.49</v>
      </c>
      <c r="M10" s="3" t="s">
        <v>54</v>
      </c>
    </row>
    <row r="11" spans="1:13" ht="28" x14ac:dyDescent="0.35">
      <c r="A11" s="3" t="s">
        <v>55</v>
      </c>
      <c r="B11" s="3">
        <v>1</v>
      </c>
      <c r="C11" s="4" t="s">
        <v>56</v>
      </c>
      <c r="D11" s="5">
        <v>7.99</v>
      </c>
      <c r="E11" s="3" t="s">
        <v>57</v>
      </c>
      <c r="F11" s="4" t="s">
        <v>44</v>
      </c>
      <c r="G11" s="5">
        <v>2.83</v>
      </c>
      <c r="H11" s="3" t="s">
        <v>58</v>
      </c>
      <c r="I11" s="3" t="s">
        <v>59</v>
      </c>
      <c r="J11" s="6">
        <f t="shared" si="0"/>
        <v>5.16</v>
      </c>
      <c r="K11" s="7" t="s">
        <v>21</v>
      </c>
      <c r="L11" s="6">
        <f t="shared" si="1"/>
        <v>2.83</v>
      </c>
      <c r="M11" s="3" t="s">
        <v>60</v>
      </c>
    </row>
    <row r="12" spans="1:13" x14ac:dyDescent="0.35">
      <c r="A12" s="3" t="s">
        <v>61</v>
      </c>
      <c r="B12" s="3">
        <v>1</v>
      </c>
      <c r="C12" s="4" t="s">
        <v>26</v>
      </c>
      <c r="D12" s="5">
        <v>9.39</v>
      </c>
      <c r="E12" s="3" t="s">
        <v>43</v>
      </c>
      <c r="F12" s="4" t="s">
        <v>62</v>
      </c>
      <c r="G12" s="5">
        <v>1.48</v>
      </c>
      <c r="H12" s="3" t="s">
        <v>63</v>
      </c>
      <c r="I12" s="3"/>
      <c r="J12" s="6">
        <f t="shared" si="0"/>
        <v>7.91</v>
      </c>
      <c r="K12" s="7" t="s">
        <v>21</v>
      </c>
      <c r="L12" s="6">
        <f t="shared" si="1"/>
        <v>1.48</v>
      </c>
      <c r="M12" s="3" t="s">
        <v>64</v>
      </c>
    </row>
    <row r="13" spans="1:13" ht="28" x14ac:dyDescent="0.35">
      <c r="A13" s="3" t="s">
        <v>65</v>
      </c>
      <c r="B13" s="3">
        <v>2</v>
      </c>
      <c r="C13" s="4" t="s">
        <v>66</v>
      </c>
      <c r="D13" s="5">
        <v>7.99</v>
      </c>
      <c r="E13" s="3" t="s">
        <v>67</v>
      </c>
      <c r="F13" s="4" t="s">
        <v>68</v>
      </c>
      <c r="G13" s="5">
        <v>4.4000000000000004</v>
      </c>
      <c r="H13" s="3" t="s">
        <v>69</v>
      </c>
      <c r="I13" s="3" t="s">
        <v>70</v>
      </c>
      <c r="J13" s="6">
        <f t="shared" si="0"/>
        <v>3.59</v>
      </c>
      <c r="K13" s="7" t="s">
        <v>53</v>
      </c>
      <c r="L13" s="6">
        <f t="shared" si="1"/>
        <v>7.99</v>
      </c>
      <c r="M13" s="3" t="s">
        <v>71</v>
      </c>
    </row>
    <row r="14" spans="1:13" x14ac:dyDescent="0.35">
      <c r="A14" s="3" t="s">
        <v>72</v>
      </c>
      <c r="B14" s="3">
        <v>1</v>
      </c>
      <c r="C14" s="4" t="s">
        <v>73</v>
      </c>
      <c r="D14" s="5">
        <v>8.9</v>
      </c>
      <c r="E14" s="3" t="s">
        <v>74</v>
      </c>
      <c r="F14" s="4" t="s">
        <v>75</v>
      </c>
      <c r="G14" s="5">
        <v>0.41</v>
      </c>
      <c r="H14" s="3" t="s">
        <v>76</v>
      </c>
      <c r="I14" s="3"/>
      <c r="J14" s="6">
        <f t="shared" si="0"/>
        <v>8.49</v>
      </c>
      <c r="K14" s="7" t="s">
        <v>21</v>
      </c>
      <c r="L14" s="6">
        <f t="shared" si="1"/>
        <v>0.41</v>
      </c>
      <c r="M14" s="3" t="s">
        <v>77</v>
      </c>
    </row>
    <row r="15" spans="1:13" x14ac:dyDescent="0.35">
      <c r="A15" s="3" t="s">
        <v>78</v>
      </c>
      <c r="B15" s="3">
        <v>1</v>
      </c>
      <c r="C15" s="4" t="s">
        <v>79</v>
      </c>
      <c r="D15" s="5">
        <v>13.99</v>
      </c>
      <c r="E15" s="3" t="s">
        <v>80</v>
      </c>
      <c r="F15" s="4" t="s">
        <v>44</v>
      </c>
      <c r="G15" s="5">
        <v>4.1900000000000004</v>
      </c>
      <c r="H15" s="3" t="s">
        <v>81</v>
      </c>
      <c r="I15" s="3"/>
      <c r="J15" s="6">
        <f t="shared" si="0"/>
        <v>9.8000000000000007</v>
      </c>
      <c r="K15" s="7" t="s">
        <v>21</v>
      </c>
      <c r="L15" s="6">
        <f t="shared" si="1"/>
        <v>4.1900000000000004</v>
      </c>
      <c r="M15" s="3" t="s">
        <v>82</v>
      </c>
    </row>
    <row r="16" spans="1:13" x14ac:dyDescent="0.35">
      <c r="A16" s="3" t="s">
        <v>83</v>
      </c>
      <c r="B16" s="3">
        <v>1</v>
      </c>
      <c r="C16" s="4" t="s">
        <v>84</v>
      </c>
      <c r="D16" s="5">
        <v>3.99</v>
      </c>
      <c r="E16" s="3" t="s">
        <v>38</v>
      </c>
      <c r="F16" s="4" t="s">
        <v>85</v>
      </c>
      <c r="G16" s="5">
        <v>3.32</v>
      </c>
      <c r="H16" s="3"/>
      <c r="I16" s="3" t="s">
        <v>86</v>
      </c>
      <c r="J16" s="6">
        <f t="shared" si="0"/>
        <v>0.67000000000000037</v>
      </c>
      <c r="K16" s="7" t="s">
        <v>21</v>
      </c>
      <c r="L16" s="6">
        <f t="shared" si="1"/>
        <v>3.32</v>
      </c>
      <c r="M16" s="3" t="s">
        <v>87</v>
      </c>
    </row>
    <row r="17" spans="1:13" x14ac:dyDescent="0.35">
      <c r="A17" s="3" t="s">
        <v>88</v>
      </c>
      <c r="B17" s="3">
        <v>1</v>
      </c>
      <c r="C17" s="4" t="s">
        <v>89</v>
      </c>
      <c r="D17" s="5">
        <v>13.99</v>
      </c>
      <c r="E17" s="3" t="s">
        <v>17</v>
      </c>
      <c r="F17" s="4" t="s">
        <v>26</v>
      </c>
      <c r="G17" s="5">
        <v>4.1500000000000004</v>
      </c>
      <c r="H17" s="3" t="s">
        <v>90</v>
      </c>
      <c r="I17" s="3" t="s">
        <v>91</v>
      </c>
      <c r="J17" s="6">
        <f t="shared" si="0"/>
        <v>9.84</v>
      </c>
      <c r="K17" s="7" t="s">
        <v>21</v>
      </c>
      <c r="L17" s="6">
        <f t="shared" si="1"/>
        <v>4.1500000000000004</v>
      </c>
      <c r="M17" s="3" t="s">
        <v>92</v>
      </c>
    </row>
    <row r="18" spans="1:13" x14ac:dyDescent="0.35">
      <c r="A18" s="3" t="s">
        <v>93</v>
      </c>
      <c r="B18" s="3">
        <v>1</v>
      </c>
      <c r="C18" s="4" t="s">
        <v>94</v>
      </c>
      <c r="D18" s="5">
        <v>5.99</v>
      </c>
      <c r="E18" s="3" t="s">
        <v>25</v>
      </c>
      <c r="F18" s="4" t="s">
        <v>95</v>
      </c>
      <c r="G18" s="5">
        <v>2.71</v>
      </c>
      <c r="H18" s="3" t="s">
        <v>96</v>
      </c>
      <c r="I18" s="3" t="s">
        <v>97</v>
      </c>
      <c r="J18" s="6">
        <f t="shared" si="0"/>
        <v>3.2800000000000002</v>
      </c>
      <c r="K18" s="7" t="s">
        <v>21</v>
      </c>
      <c r="L18" s="6">
        <f t="shared" si="1"/>
        <v>2.71</v>
      </c>
      <c r="M18" s="3" t="s">
        <v>98</v>
      </c>
    </row>
    <row r="19" spans="1:13" x14ac:dyDescent="0.35">
      <c r="A19" s="3" t="s">
        <v>99</v>
      </c>
      <c r="B19" s="3">
        <v>1</v>
      </c>
      <c r="C19" s="4" t="s">
        <v>100</v>
      </c>
      <c r="D19" s="5">
        <v>8.99</v>
      </c>
      <c r="E19" s="3" t="s">
        <v>101</v>
      </c>
      <c r="F19" s="4" t="s">
        <v>102</v>
      </c>
      <c r="G19" s="5">
        <v>5.65</v>
      </c>
      <c r="H19" s="3" t="s">
        <v>103</v>
      </c>
      <c r="I19" s="3" t="s">
        <v>104</v>
      </c>
      <c r="J19" s="6">
        <f t="shared" si="0"/>
        <v>3.34</v>
      </c>
      <c r="K19" s="7" t="s">
        <v>21</v>
      </c>
      <c r="L19" s="6">
        <f t="shared" si="1"/>
        <v>5.65</v>
      </c>
      <c r="M19" s="3" t="s">
        <v>87</v>
      </c>
    </row>
    <row r="20" spans="1:13" x14ac:dyDescent="0.35">
      <c r="A20" s="8" t="s">
        <v>105</v>
      </c>
      <c r="B20" s="9"/>
      <c r="C20" s="9"/>
      <c r="D20" s="10">
        <f>SUM(D5:D19)</f>
        <v>129.54999999999998</v>
      </c>
      <c r="E20" s="9"/>
      <c r="F20" s="9"/>
      <c r="G20" s="10">
        <f>SUM(G5:G19)</f>
        <v>50.410000000000004</v>
      </c>
      <c r="H20" s="9"/>
      <c r="I20" s="9"/>
      <c r="J20" s="10">
        <f>SUM(J5:J19)</f>
        <v>79.140000000000015</v>
      </c>
      <c r="K20" s="9"/>
      <c r="L20" s="10">
        <f>SUM(L5:L19)</f>
        <v>58.149999999999991</v>
      </c>
      <c r="M20" s="11" t="s">
        <v>106</v>
      </c>
    </row>
    <row r="22" spans="1:13" x14ac:dyDescent="0.35">
      <c r="A22" s="12" t="s">
        <v>107</v>
      </c>
    </row>
    <row r="23" spans="1:13" ht="28" x14ac:dyDescent="0.35">
      <c r="A23" s="3" t="s">
        <v>108</v>
      </c>
      <c r="B23" s="3">
        <v>1</v>
      </c>
      <c r="C23" s="4" t="s">
        <v>109</v>
      </c>
      <c r="D23" s="5">
        <v>7.49</v>
      </c>
      <c r="E23" s="3" t="s">
        <v>43</v>
      </c>
      <c r="F23" s="4" t="s">
        <v>44</v>
      </c>
      <c r="G23" s="5">
        <v>4.05</v>
      </c>
      <c r="H23" s="3" t="s">
        <v>110</v>
      </c>
      <c r="I23" s="3"/>
      <c r="J23" s="6">
        <f>D23-G23</f>
        <v>3.4400000000000004</v>
      </c>
      <c r="K23" s="7" t="s">
        <v>21</v>
      </c>
      <c r="L23" s="6">
        <f>IF(K23="Amazon",D23,IF(K23="AliExpress",G23,0))</f>
        <v>4.05</v>
      </c>
      <c r="M23" s="3" t="s">
        <v>111</v>
      </c>
    </row>
    <row r="24" spans="1:13" x14ac:dyDescent="0.35">
      <c r="A24" s="8" t="s">
        <v>112</v>
      </c>
      <c r="B24" s="9"/>
      <c r="C24" s="9"/>
      <c r="D24" s="10">
        <f>D20+SUM(D23:D23)</f>
        <v>137.04</v>
      </c>
      <c r="E24" s="9"/>
      <c r="F24" s="9"/>
      <c r="G24" s="10">
        <f>G20+SUM(G23:G23)</f>
        <v>54.46</v>
      </c>
      <c r="H24" s="9"/>
      <c r="I24" s="9"/>
      <c r="J24" s="10">
        <f>J20+SUM(J23:J23)</f>
        <v>82.580000000000013</v>
      </c>
      <c r="K24" s="9"/>
      <c r="L24" s="10">
        <f>L20+SUM(L23:L23)</f>
        <v>62.199999999999989</v>
      </c>
      <c r="M24" s="9"/>
    </row>
    <row r="26" spans="1:13" x14ac:dyDescent="0.35">
      <c r="A26" s="12" t="s">
        <v>113</v>
      </c>
    </row>
    <row r="27" spans="1:13" ht="28" x14ac:dyDescent="0.35">
      <c r="A27" s="4" t="s">
        <v>114</v>
      </c>
      <c r="B27" s="13"/>
      <c r="C27" s="13"/>
      <c r="D27" s="5">
        <v>19.95</v>
      </c>
      <c r="E27" s="13"/>
      <c r="F27" s="13"/>
      <c r="G27" s="13"/>
      <c r="H27" s="13"/>
      <c r="I27" s="13"/>
      <c r="J27" s="13"/>
      <c r="K27" s="13"/>
      <c r="L27" s="13"/>
      <c r="M27" s="3" t="s">
        <v>115</v>
      </c>
    </row>
    <row r="28" spans="1:13" x14ac:dyDescent="0.35">
      <c r="A28" s="4" t="s">
        <v>116</v>
      </c>
      <c r="B28" s="13"/>
      <c r="C28" s="13"/>
      <c r="D28" s="5">
        <v>11.95</v>
      </c>
      <c r="E28" s="13"/>
      <c r="F28" s="13"/>
      <c r="G28" s="13"/>
      <c r="H28" s="13"/>
      <c r="I28" s="13"/>
      <c r="J28" s="13"/>
      <c r="K28" s="13"/>
      <c r="L28" s="13"/>
      <c r="M28" s="3" t="s">
        <v>117</v>
      </c>
    </row>
    <row r="29" spans="1:13" x14ac:dyDescent="0.35">
      <c r="A29" s="4" t="s">
        <v>118</v>
      </c>
      <c r="B29" s="13"/>
      <c r="C29" s="13"/>
      <c r="D29" s="5">
        <v>9.99</v>
      </c>
      <c r="E29" s="13"/>
      <c r="F29" s="13"/>
      <c r="G29" s="13"/>
      <c r="H29" s="13"/>
      <c r="I29" s="13"/>
      <c r="J29" s="13"/>
      <c r="K29" s="13"/>
      <c r="L29" s="13"/>
      <c r="M29" s="3" t="s">
        <v>119</v>
      </c>
    </row>
    <row r="30" spans="1:13" ht="28" x14ac:dyDescent="0.35">
      <c r="A30" s="4" t="s">
        <v>120</v>
      </c>
      <c r="B30" s="13"/>
      <c r="C30" s="13"/>
      <c r="D30" s="5">
        <v>6.99</v>
      </c>
      <c r="E30" s="13"/>
      <c r="F30" s="13"/>
      <c r="G30" s="13"/>
      <c r="H30" s="13"/>
      <c r="I30" s="13"/>
      <c r="J30" s="13"/>
      <c r="K30" s="13"/>
      <c r="L30" s="13"/>
      <c r="M30" s="3" t="s">
        <v>121</v>
      </c>
    </row>
    <row r="31" spans="1:13" x14ac:dyDescent="0.35">
      <c r="A31" s="4" t="s">
        <v>122</v>
      </c>
      <c r="B31" s="13"/>
      <c r="C31" s="13"/>
      <c r="D31" s="5">
        <v>7.99</v>
      </c>
      <c r="E31" s="13"/>
      <c r="F31" s="13"/>
      <c r="G31" s="13"/>
      <c r="H31" s="13"/>
      <c r="I31" s="13"/>
      <c r="J31" s="13"/>
      <c r="K31" s="13"/>
      <c r="L31" s="13"/>
      <c r="M31" s="3" t="s">
        <v>123</v>
      </c>
    </row>
    <row r="33" spans="1:1" x14ac:dyDescent="0.35">
      <c r="A33" s="14" t="s">
        <v>124</v>
      </c>
    </row>
    <row r="34" spans="1:1" x14ac:dyDescent="0.35">
      <c r="A34" s="15" t="s">
        <v>125</v>
      </c>
    </row>
    <row r="35" spans="1:1" x14ac:dyDescent="0.35">
      <c r="A35" s="15" t="s">
        <v>126</v>
      </c>
    </row>
    <row r="36" spans="1:1" x14ac:dyDescent="0.35">
      <c r="A36" s="15" t="s">
        <v>127</v>
      </c>
    </row>
    <row r="37" spans="1:1" x14ac:dyDescent="0.35">
      <c r="A37" s="15" t="s">
        <v>128</v>
      </c>
    </row>
  </sheetData>
  <mergeCells count="1">
    <mergeCell ref="A2:M2"/>
  </mergeCells>
  <conditionalFormatting sqref="D5:D19">
    <cfRule type="expression" dxfId="1" priority="1">
      <formula>D5&lt;G5</formula>
    </cfRule>
  </conditionalFormatting>
  <conditionalFormatting sqref="G5:G19">
    <cfRule type="expression" dxfId="0" priority="2">
      <formula>G5&lt;D5</formula>
    </cfRule>
  </conditionalFormatting>
  <dataValidations count="1">
    <dataValidation type="list" allowBlank="1" sqref="K5:K19 K23" xr:uid="{00000000-0002-0000-0000-000000000000}">
      <formula1>"Amazon,AliExpress,None"</formula1>
    </dataValidation>
  </dataValidations>
  <hyperlinks>
    <hyperlink ref="C5" r:id="rId1" xr:uid="{00000000-0004-0000-0000-000000000000}"/>
    <hyperlink ref="F5" r:id="rId2" xr:uid="{00000000-0004-0000-0000-000001000000}"/>
    <hyperlink ref="C6" r:id="rId3" xr:uid="{00000000-0004-0000-0000-000002000000}"/>
    <hyperlink ref="F6" r:id="rId4" xr:uid="{00000000-0004-0000-0000-000003000000}"/>
    <hyperlink ref="C7" r:id="rId5" xr:uid="{00000000-0004-0000-0000-000004000000}"/>
    <hyperlink ref="F7" r:id="rId6" xr:uid="{00000000-0004-0000-0000-000005000000}"/>
    <hyperlink ref="C8" r:id="rId7" xr:uid="{00000000-0004-0000-0000-000006000000}"/>
    <hyperlink ref="F8" r:id="rId8" xr:uid="{00000000-0004-0000-0000-000007000000}"/>
    <hyperlink ref="C9" r:id="rId9" xr:uid="{00000000-0004-0000-0000-000008000000}"/>
    <hyperlink ref="F9" r:id="rId10" xr:uid="{00000000-0004-0000-0000-000009000000}"/>
    <hyperlink ref="C10" r:id="rId11" xr:uid="{00000000-0004-0000-0000-00000A000000}"/>
    <hyperlink ref="F10" r:id="rId12" xr:uid="{00000000-0004-0000-0000-00000B000000}"/>
    <hyperlink ref="C11" r:id="rId13" xr:uid="{00000000-0004-0000-0000-00000C000000}"/>
    <hyperlink ref="F11" r:id="rId14" xr:uid="{00000000-0004-0000-0000-00000D000000}"/>
    <hyperlink ref="C12" r:id="rId15" xr:uid="{00000000-0004-0000-0000-00000E000000}"/>
    <hyperlink ref="F12" r:id="rId16" xr:uid="{00000000-0004-0000-0000-00000F000000}"/>
    <hyperlink ref="C13" r:id="rId17" xr:uid="{00000000-0004-0000-0000-000010000000}"/>
    <hyperlink ref="F13" r:id="rId18" xr:uid="{00000000-0004-0000-0000-000011000000}"/>
    <hyperlink ref="C14" r:id="rId19" xr:uid="{00000000-0004-0000-0000-000012000000}"/>
    <hyperlink ref="F14" r:id="rId20" xr:uid="{00000000-0004-0000-0000-000013000000}"/>
    <hyperlink ref="C15" r:id="rId21" xr:uid="{00000000-0004-0000-0000-000014000000}"/>
    <hyperlink ref="F15" r:id="rId22" xr:uid="{00000000-0004-0000-0000-000015000000}"/>
    <hyperlink ref="C16" r:id="rId23" xr:uid="{00000000-0004-0000-0000-000016000000}"/>
    <hyperlink ref="F16" r:id="rId24" xr:uid="{00000000-0004-0000-0000-000017000000}"/>
    <hyperlink ref="C17" r:id="rId25" xr:uid="{00000000-0004-0000-0000-000018000000}"/>
    <hyperlink ref="F17" r:id="rId26" xr:uid="{00000000-0004-0000-0000-000019000000}"/>
    <hyperlink ref="C18" r:id="rId27" xr:uid="{00000000-0004-0000-0000-00001A000000}"/>
    <hyperlink ref="F18" r:id="rId28" xr:uid="{00000000-0004-0000-0000-00001B000000}"/>
    <hyperlink ref="C19" r:id="rId29" xr:uid="{00000000-0004-0000-0000-00001C000000}"/>
    <hyperlink ref="F19" r:id="rId30" xr:uid="{00000000-0004-0000-0000-00001D000000}"/>
    <hyperlink ref="C23" r:id="rId31" xr:uid="{00000000-0004-0000-0000-00001E000000}"/>
    <hyperlink ref="F23" r:id="rId32" xr:uid="{00000000-0004-0000-0000-00001F000000}"/>
    <hyperlink ref="A27" r:id="rId33" xr:uid="{00000000-0004-0000-0000-000020000000}"/>
    <hyperlink ref="A28" r:id="rId34" xr:uid="{00000000-0004-0000-0000-000021000000}"/>
    <hyperlink ref="A29" r:id="rId35" xr:uid="{00000000-0004-0000-0000-000022000000}"/>
    <hyperlink ref="A30" r:id="rId36" xr:uid="{00000000-0004-0000-0000-000023000000}"/>
    <hyperlink ref="A31" r:id="rId37" xr:uid="{00000000-0004-0000-0000-000024000000}"/>
  </hyperlinks>
  <pageMargins left="0.75" right="0.75" top="1" bottom="1" header="0.5" footer="0.5"/>
  <pageSetup fitToHeight="0" orientation="landscape"/>
  <legacyDrawing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Parts</vt:lpstr>
      <vt:lpstr>Parts!Print_Titles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Asher Niedzwiedz</cp:lastModifiedBy>
  <dcterms:created xsi:type="dcterms:W3CDTF">2026-10-21T04:53:49Z</dcterms:created>
  <dcterms:modified xsi:type="dcterms:W3CDTF">2026-10-21T04:54:08Z</dcterms:modified>
</cp:coreProperties>
</file>