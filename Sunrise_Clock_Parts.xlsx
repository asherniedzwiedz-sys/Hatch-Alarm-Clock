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her\AppData\Local\Temp\"/>
    </mc:Choice>
  </mc:AlternateContent>
  <xr:revisionPtr revIDLastSave="0" documentId="13_ncr:1_{D08BD59C-0B72-4114-B13F-53635DDF17EC}" xr6:coauthVersionLast="47" xr6:coauthVersionMax="47" xr10:uidLastSave="{00000000-0000-0000-0000-000000000000}"/>
  <bookViews>
    <workbookView xWindow="6400" yWindow="2250" windowWidth="19200" windowHeight="11170" activeTab="1" xr2:uid="{00000000-000D-0000-FFFF-FFFF00000000}"/>
  </bookViews>
  <sheets>
    <sheet name="Parts" sheetId="1" r:id="rId1"/>
    <sheet name="Buying" sheetId="2" r:id="rId2"/>
  </sheets>
  <definedNames>
    <definedName name="_xlnm.Print_Titles" localSheetId="1">Buying!$4:$4</definedName>
    <definedName name="_xlnm.Print_Titles" localSheetId="0">Parts!$4:$4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J32" i="1"/>
  <c r="L31" i="1"/>
  <c r="J31" i="1"/>
  <c r="L30" i="1"/>
  <c r="J30" i="1"/>
  <c r="L29" i="1"/>
  <c r="J29" i="1"/>
  <c r="L19" i="1"/>
  <c r="J19" i="1"/>
  <c r="L15" i="1"/>
  <c r="J15" i="1"/>
  <c r="L14" i="1"/>
  <c r="J14" i="1"/>
  <c r="L13" i="1"/>
  <c r="J13" i="1"/>
  <c r="L12" i="1"/>
  <c r="J12" i="1"/>
  <c r="L11" i="1"/>
  <c r="J11" i="1"/>
  <c r="L10" i="1"/>
  <c r="J10" i="1"/>
  <c r="L9" i="1"/>
  <c r="J9" i="1"/>
  <c r="L8" i="1"/>
  <c r="J8" i="1"/>
  <c r="L7" i="1"/>
  <c r="J7" i="1"/>
  <c r="L6" i="1"/>
  <c r="J6" i="1"/>
  <c r="L5" i="1"/>
  <c r="J5" i="1"/>
  <c r="E1" i="1"/>
  <c r="D18" i="2"/>
  <c r="D20" i="2" s="1"/>
  <c r="E1" i="2" s="1"/>
  <c r="D16" i="1"/>
  <c r="J16" i="1"/>
  <c r="D20" i="1"/>
  <c r="L16" i="1"/>
  <c r="G16" i="1"/>
  <c r="J20" i="1"/>
  <c r="G20" i="1"/>
  <c r="L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Sunrise Clock</author>
  </authors>
  <commentList>
    <comment ref="J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Positive = AliExpress is cheaper by this much.</t>
        </r>
      </text>
    </comment>
  </commentList>
</comments>
</file>

<file path=xl/sharedStrings.xml><?xml version="1.0" encoding="utf-8"?>
<sst xmlns="http://schemas.openxmlformats.org/spreadsheetml/2006/main" count="264" uniqueCount="154">
  <si>
    <t>Sunrise Clock: parts, Amazon vs AliExpress</t>
  </si>
  <si>
    <t>Total:</t>
  </si>
  <si>
    <t>One clock, every function. Prices checked 2026-10-20 on amazon.com and aliexpress.us (AliExpress: regular price, not the one-time new-shopper deal). Prices change. ESP32 and PLA not included (you have them).</t>
  </si>
  <si>
    <t>Part</t>
  </si>
  <si>
    <t>Qty</t>
  </si>
  <si>
    <t xml:space="preserve"> listing</t>
  </si>
  <si>
    <t>Price</t>
  </si>
  <si>
    <t>My pick</t>
  </si>
  <si>
    <t>Option to pick</t>
  </si>
  <si>
    <t>LED strip, WS2812B, 1 m, 10 mm wide</t>
  </si>
  <si>
    <t>ANTVLED 96 LED/m IP30</t>
  </si>
  <si>
    <t>AliExpress</t>
  </si>
  <si>
    <t>White PCB, 1m 96 IP30</t>
  </si>
  <si>
    <t>74AHCT125 level shifter (DIP-14)</t>
  </si>
  <si>
    <t>5 pcs</t>
  </si>
  <si>
    <t>5PCS SN74AHCT125N</t>
  </si>
  <si>
    <t>MAX98357A I2S amplifier</t>
  </si>
  <si>
    <t>1 pc</t>
  </si>
  <si>
    <t>1PCS</t>
  </si>
  <si>
    <t>Speaker, 2" 4 Ω 3 W</t>
  </si>
  <si>
    <t>Gikfun EK1725, 2 pcs</t>
  </si>
  <si>
    <t>Amazon</t>
  </si>
  <si>
    <t>2 pcs</t>
  </si>
  <si>
    <t>DS3231 RTC (ZS-042)</t>
  </si>
  <si>
    <t>1 pc, Choice</t>
  </si>
  <si>
    <t>only one option</t>
  </si>
  <si>
    <t>KY-040 rotary encoder</t>
  </si>
  <si>
    <t>1 pc + knob</t>
  </si>
  <si>
    <t>12 mm momentary push buttons</t>
  </si>
  <si>
    <t>Gebildet 5 pcs (pick Flat Head)</t>
  </si>
  <si>
    <t>SS-Momentary-5pcs (Flat Head)</t>
  </si>
  <si>
    <t>USB-C power input, dual 5.1 kΩ</t>
  </si>
  <si>
    <t>Type-C board, CC1/CC2 5.1K, Choice</t>
  </si>
  <si>
    <t>army green (blue board), 1PCS</t>
  </si>
  <si>
    <t>HLK-LD2410C sleep radar</t>
  </si>
  <si>
    <t>1pc</t>
  </si>
  <si>
    <t>Jumper wires, female-female</t>
  </si>
  <si>
    <t>40 pin</t>
  </si>
  <si>
    <t>20CM Female-Female, 1Set-40Pin</t>
  </si>
  <si>
    <t>Protoboards</t>
  </si>
  <si>
    <t>Red 3x7cm, 5PCS</t>
  </si>
  <si>
    <t>M3 heat-set inserts</t>
  </si>
  <si>
    <t>brass inserts</t>
  </si>
  <si>
    <t>M3 (OD 4.5mm) 50pcs, Length 5mm</t>
  </si>
  <si>
    <t>Male header pins</t>
  </si>
  <si>
    <t>11.5mm 10pcs</t>
  </si>
  <si>
    <t>Total (core build)</t>
  </si>
  <si>
    <t>BH1750 light sensor (auto-dim, optional)</t>
  </si>
  <si>
    <t>GY-302, Choice</t>
  </si>
  <si>
    <t>GY-302 1PCS</t>
  </si>
  <si>
    <t>Total with optional parts</t>
  </si>
  <si>
    <t>Same on both sites (not in the totals)</t>
  </si>
  <si>
    <t>Dot Matrix Display</t>
  </si>
  <si>
    <t>most likely buying</t>
  </si>
  <si>
    <t>Dot-matrix clock: Adafruit 0.8" 8x16 LED Matrix FeatherWing kit, white</t>
  </si>
  <si>
    <t>…or the yellow version (cheaper)</t>
  </si>
  <si>
    <t>5 V 3 A USB-C power supply</t>
  </si>
  <si>
    <t>think I can find</t>
  </si>
  <si>
    <t>Fabric: muslin, 1.3 yd</t>
  </si>
  <si>
    <t>can find</t>
  </si>
  <si>
    <t>CR2032 coin cells, 24 pack</t>
  </si>
  <si>
    <t>M3 countersunk screws</t>
  </si>
  <si>
    <t>630 pcs kit</t>
  </si>
  <si>
    <t>kit</t>
  </si>
  <si>
    <t>470 Ω resistor</t>
  </si>
  <si>
    <t>California JOS 100 pcs</t>
  </si>
  <si>
    <t>100 pcs metal film</t>
  </si>
  <si>
    <t>1000 µF 16 V capacitor</t>
  </si>
  <si>
    <t>10 pcs, low ESR</t>
  </si>
  <si>
    <t>DIP electrolytic</t>
  </si>
  <si>
    <t>How to use</t>
  </si>
  <si>
    <t>Yellow cells (My pick): choose Amazon, AliExpress or None from the dropdown. My price and its total update.</t>
  </si>
  <si>
    <t>Blue numbers are prices typed in from the listings on 2026-10-20; black numbers are formulas.</t>
  </si>
  <si>
    <t>Click a listing name to open it. On AliExpress, choose the option in the 'AliExpress option to pick' column.</t>
  </si>
  <si>
    <t>Quality: most are the same boards on both sites. Amazon = fast, free returns, spares. AliExpress = ~60% cheaper, test parts on arrival.</t>
  </si>
  <si>
    <t>Amazon listing</t>
  </si>
  <si>
    <t>Amazon $</t>
  </si>
  <si>
    <t>Amazon quality</t>
  </si>
  <si>
    <t>AliExpress listing</t>
  </si>
  <si>
    <t>AliExpress $</t>
  </si>
  <si>
    <t>AliExpress quality</t>
  </si>
  <si>
    <t>AliExpress option to pick</t>
  </si>
  <si>
    <t>Amazon − AliExpress</t>
  </si>
  <si>
    <t>My price</t>
  </si>
  <si>
    <t>Notes</t>
  </si>
  <si>
    <t>BTF-Lighting 100 LED/m IP30</t>
  </si>
  <si>
    <t>4.6★</t>
  </si>
  <si>
    <t>4.8★, 5,000+ sold</t>
  </si>
  <si>
    <t>1m 96 IP30</t>
  </si>
  <si>
    <t>BTF is a known brand, consistent color. Ali store 94.8% positive. Both strips fit the channels.</t>
  </si>
  <si>
    <t>10 pcs</t>
  </si>
  <si>
    <t>4.7★</t>
  </si>
  <si>
    <t>4.9★, 2,000+ sold</t>
  </si>
  <si>
    <t>Cheap chips can be relabeled 74HC parts that won't shift 3.3 V to 5 V. First suspect if the LEDs flicker.</t>
  </si>
  <si>
    <t>4.5★</t>
  </si>
  <si>
    <t>4.8★, 4,000+ sold</t>
  </si>
  <si>
    <t>Same board design</t>
  </si>
  <si>
    <t>4.3★, 776 reviews</t>
  </si>
  <si>
    <t>SOTAMIA 50 mm, 2 pcs</t>
  </si>
  <si>
    <t>528 sold</t>
  </si>
  <si>
    <t>4 Ohm 3W</t>
  </si>
  <si>
    <t>Gikfun is better proven. Both fit the seat (glue it in).</t>
  </si>
  <si>
    <t>2 pcs + jumper wires</t>
  </si>
  <si>
    <t>4.4★</t>
  </si>
  <si>
    <t>4.8★, 4,000+ sold, Choice</t>
  </si>
  <si>
    <t>DS3231SN, blue board with coin-cell holder</t>
  </si>
  <si>
    <t>DS3231M chips are less accurate but still work. Remove the charging resistor for a CR2032.</t>
  </si>
  <si>
    <t>4.7★, 1,000+ sold</t>
  </si>
  <si>
    <t>Same module, with the pull-ups GPIO34/35 need</t>
  </si>
  <si>
    <t>4.6★, 981 reviews</t>
  </si>
  <si>
    <t>1 pc each, price for 2</t>
  </si>
  <si>
    <t>90 sold</t>
  </si>
  <si>
    <t>Momentary</t>
  </si>
  <si>
    <t>Amazon's are much better reviewed. Weakest AliExpress listing.</t>
  </si>
  <si>
    <t>eleUniverse 2 pcs</t>
  </si>
  <si>
    <t>no reviews yet</t>
  </si>
  <si>
    <t>5★, 347 sold, Choice</t>
  </si>
  <si>
    <t>with 5.1K resistors</t>
  </si>
  <si>
    <t>AliExpress listing has the better track record here</t>
  </si>
  <si>
    <t>AEDIKO 2 pcs</t>
  </si>
  <si>
    <t>4.6★, 9 reviews</t>
  </si>
  <si>
    <t>4.8★, 5,000+ sold, Choice</t>
  </si>
  <si>
    <t>LD2410C (not B or 2420)</t>
  </si>
  <si>
    <t>Same Hi-Link module. Pocket is 22 × 16 mm: measure yours.</t>
  </si>
  <si>
    <t>40 pcs, 20 cm</t>
  </si>
  <si>
    <t>4.8★</t>
  </si>
  <si>
    <t>F-F 20cm</t>
  </si>
  <si>
    <t>Same</t>
  </si>
  <si>
    <t>58 pcs kit + headers</t>
  </si>
  <si>
    <t>560 sold</t>
  </si>
  <si>
    <t>3x7cm</t>
  </si>
  <si>
    <t>Amazon kit includes headers and terminals</t>
  </si>
  <si>
    <t>My price = your mix. Default: AliExpress, except the speaker and buttons from Amazon.</t>
  </si>
  <si>
    <t>Optional</t>
  </si>
  <si>
    <t>HiLetgo 3 pcs</t>
  </si>
  <si>
    <t>5★, 414 sold, Choice</t>
  </si>
  <si>
    <t>GY-302</t>
  </si>
  <si>
    <t>Only needed for auto-dim</t>
  </si>
  <si>
    <t>OPEN-SMART 0.8" Inch 16x8 I2C LED Dot Matrix Display Module 4 Pin Red LED Matrix for Arduino</t>
  </si>
  <si>
    <t>adafruit.com, plus shipping. Neither site had a good match.</t>
  </si>
  <si>
    <t>adafruit.com, plus shipping</t>
  </si>
  <si>
    <t>Free if you have a USB-C phone charger that does 5 V 3 A</t>
  </si>
  <si>
    <t>Free with an old linen shirt or pillowcase. Hold it up to a lamp: it should glow.</t>
  </si>
  <si>
    <t>Free if you have one at home</t>
  </si>
  <si>
    <t>100 pcs, M3 × 5.7 × 4.6</t>
  </si>
  <si>
    <t>54,000+ sold</t>
  </si>
  <si>
    <t>M3 x 5.7 x 4.6</t>
  </si>
  <si>
    <t>Amazon's size is confirmed; on Ali pick M3 × 5.7 × 4.6 if offered</t>
  </si>
  <si>
    <t>4.8★, 1,000+ sold</t>
  </si>
  <si>
    <t>M3</t>
  </si>
  <si>
    <t>550 sold</t>
  </si>
  <si>
    <t>470R</t>
  </si>
  <si>
    <t>Same part</t>
  </si>
  <si>
    <t>16V 1000uF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</si>
</sst>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;\(\$#,##0.00\);&quot;-&quot;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1"/>
      <name val="Arial"/>
    </font>
    <font>
      <u/>
      <sz val="11"/>
      <color rgb="FF0563C1"/>
      <name val="Arial"/>
    </font>
    <font>
      <sz val="11"/>
      <color rgb="FF0000FF"/>
      <name val="Arial"/>
    </font>
    <font>
      <b/>
      <sz val="11"/>
      <name val="Arial"/>
    </font>
    <font>
      <i/>
      <sz val="9"/>
      <name val="Arial"/>
    </font>
    <font>
      <b/>
      <sz val="11"/>
      <name val="Arial"/>
    </font>
    <font>
      <b/>
      <sz val="10"/>
      <name val="Arial"/>
    </font>
    <font>
      <sz val="9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3B4C"/>
      </patternFill>
    </fill>
    <fill>
      <patternFill patternType="solid">
        <fgColor rgb="FFFFFF00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2" fillId="0" borderId="0"/>
  </cellStyleXfs>
  <cellXfs count="22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/>
    <xf numFmtId="0" fontId="0" fillId="4" borderId="1" xfId="0" applyFill="1" applyBorder="1"/>
    <xf numFmtId="164" fontId="7" fillId="4" borderId="1" xfId="0" applyNumberFormat="1" applyFont="1" applyFill="1" applyBorder="1"/>
    <xf numFmtId="0" fontId="8" fillId="4" borderId="1" xfId="0" applyFont="1" applyFill="1" applyBorder="1"/>
    <xf numFmtId="0" fontId="9" fillId="0" borderId="0" xfId="0" applyFont="1"/>
    <xf numFmtId="0" fontId="0" fillId="0" borderId="1" xfId="0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0" borderId="0" xfId="1"/>
    <xf numFmtId="164" fontId="0" fillId="0" borderId="0" xfId="0" applyNumberFormat="1"/>
    <xf numFmtId="0" fontId="12" fillId="0" borderId="1" xfId="1" applyBorder="1" applyAlignment="1">
      <alignment vertical="top" wrapText="1"/>
    </xf>
    <xf numFmtId="8" fontId="0" fillId="0" borderId="0" xfId="0" applyNumberFormat="1"/>
    <xf numFmtId="0" fontId="2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9"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dp/B08L49F7DV" TargetMode="External"/><Relationship Id="rId18" Type="http://schemas.openxmlformats.org/officeDocument/2006/relationships/hyperlink" Target="https://www.aliexpress.us/item/3256806849046153.html" TargetMode="External"/><Relationship Id="rId26" Type="http://schemas.openxmlformats.org/officeDocument/2006/relationships/hyperlink" Target="https://www.adafruit.com/product/3149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s://www.amazon.com/dp/B0CKZ7GFSK" TargetMode="External"/><Relationship Id="rId34" Type="http://schemas.openxmlformats.org/officeDocument/2006/relationships/hyperlink" Target="https://www.aliexpress.us/item/3256805779852270.html" TargetMode="External"/><Relationship Id="rId7" Type="http://schemas.openxmlformats.org/officeDocument/2006/relationships/hyperlink" Target="https://www.amazon.com/dp/B01CHYIU26" TargetMode="External"/><Relationship Id="rId12" Type="http://schemas.openxmlformats.org/officeDocument/2006/relationships/hyperlink" Target="https://www.aliexpress.us/item/2255800145982269.html" TargetMode="External"/><Relationship Id="rId17" Type="http://schemas.openxmlformats.org/officeDocument/2006/relationships/hyperlink" Target="https://www.amazon.com/dp/B0GQYYTJPS" TargetMode="External"/><Relationship Id="rId25" Type="http://schemas.openxmlformats.org/officeDocument/2006/relationships/hyperlink" Target="https://www.aliexpress.us/item/3256804212916663.html" TargetMode="External"/><Relationship Id="rId33" Type="http://schemas.openxmlformats.org/officeDocument/2006/relationships/hyperlink" Target="https://www.amazon.com/dp/B0F8HPFXX5" TargetMode="External"/><Relationship Id="rId38" Type="http://schemas.openxmlformats.org/officeDocument/2006/relationships/hyperlink" Target="https://www.aliexpress.us/item/3256811625053645.html" TargetMode="External"/><Relationship Id="rId2" Type="http://schemas.openxmlformats.org/officeDocument/2006/relationships/hyperlink" Target="https://www.aliexpress.us/item/3256807796309465.html" TargetMode="External"/><Relationship Id="rId16" Type="http://schemas.openxmlformats.org/officeDocument/2006/relationships/hyperlink" Target="https://www.aliexpress.us/item/3256805787035895.html" TargetMode="External"/><Relationship Id="rId20" Type="http://schemas.openxmlformats.org/officeDocument/2006/relationships/hyperlink" Target="https://www.aliexpress.us/item/3256812379729214.html" TargetMode="External"/><Relationship Id="rId29" Type="http://schemas.openxmlformats.org/officeDocument/2006/relationships/hyperlink" Target="https://www.amazon.com/dp/B0G8HGNHWH" TargetMode="External"/><Relationship Id="rId1" Type="http://schemas.openxmlformats.org/officeDocument/2006/relationships/hyperlink" Target="https://www.amazon.com/dp/B088B8G8LD" TargetMode="External"/><Relationship Id="rId6" Type="http://schemas.openxmlformats.org/officeDocument/2006/relationships/hyperlink" Target="https://www.aliexpress.us/item/3256807442706139.html" TargetMode="External"/><Relationship Id="rId11" Type="http://schemas.openxmlformats.org/officeDocument/2006/relationships/hyperlink" Target="https://www.amazon.com/dp/B06XQTHDRR" TargetMode="External"/><Relationship Id="rId24" Type="http://schemas.openxmlformats.org/officeDocument/2006/relationships/hyperlink" Target="https://www.aliexpress.us/item/3256810260002611.html" TargetMode="External"/><Relationship Id="rId32" Type="http://schemas.openxmlformats.org/officeDocument/2006/relationships/hyperlink" Target="https://www.aliexpress.us/item/3256804349544912.html" TargetMode="External"/><Relationship Id="rId37" Type="http://schemas.openxmlformats.org/officeDocument/2006/relationships/hyperlink" Target="https://www.amazon.com/dp/B0D78PBK4K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s://www.amazon.com/dp/B0DPJRLMDJ" TargetMode="External"/><Relationship Id="rId15" Type="http://schemas.openxmlformats.org/officeDocument/2006/relationships/hyperlink" Target="https://www.amazon.com/dp/B0GR8SNSCQ" TargetMode="External"/><Relationship Id="rId23" Type="http://schemas.openxmlformats.org/officeDocument/2006/relationships/hyperlink" Target="https://www.amazon.com/dp/B00M0F29OS" TargetMode="External"/><Relationship Id="rId28" Type="http://schemas.openxmlformats.org/officeDocument/2006/relationships/hyperlink" Target="https://www.amazon.com/dp/B09JW4QQJ2" TargetMode="External"/><Relationship Id="rId36" Type="http://schemas.openxmlformats.org/officeDocument/2006/relationships/hyperlink" Target="https://www.aliexpress.us/item/3256809879566136.html" TargetMode="External"/><Relationship Id="rId10" Type="http://schemas.openxmlformats.org/officeDocument/2006/relationships/hyperlink" Target="https://www.aliexpress.us/item/3256806957282138.html" TargetMode="External"/><Relationship Id="rId19" Type="http://schemas.openxmlformats.org/officeDocument/2006/relationships/hyperlink" Target="https://www.amazon.com/dp/B0BRTJQGS6" TargetMode="External"/><Relationship Id="rId31" Type="http://schemas.openxmlformats.org/officeDocument/2006/relationships/hyperlink" Target="https://www.amazon.com/dp/B0DQL4ZSCP" TargetMode="External"/><Relationship Id="rId4" Type="http://schemas.openxmlformats.org/officeDocument/2006/relationships/hyperlink" Target="https://www.aliexpress.us/item/3256807469514168.html" TargetMode="External"/><Relationship Id="rId9" Type="http://schemas.openxmlformats.org/officeDocument/2006/relationships/hyperlink" Target="https://www.amazon.com/dp/B09LLMYBM1" TargetMode="External"/><Relationship Id="rId14" Type="http://schemas.openxmlformats.org/officeDocument/2006/relationships/hyperlink" Target="https://www.aliexpress.us/item/2251832630370510.html" TargetMode="External"/><Relationship Id="rId22" Type="http://schemas.openxmlformats.org/officeDocument/2006/relationships/hyperlink" Target="https://www.aliexpress.us/item/3256808585524708.html" TargetMode="External"/><Relationship Id="rId27" Type="http://schemas.openxmlformats.org/officeDocument/2006/relationships/hyperlink" Target="https://www.adafruit.com/product/3153" TargetMode="External"/><Relationship Id="rId30" Type="http://schemas.openxmlformats.org/officeDocument/2006/relationships/hyperlink" Target="https://www.amazon.com/dp/B0F28618FV" TargetMode="External"/><Relationship Id="rId35" Type="http://schemas.openxmlformats.org/officeDocument/2006/relationships/hyperlink" Target="https://www.amazon.com/dp/B0B4FSVCPT" TargetMode="External"/><Relationship Id="rId8" Type="http://schemas.openxmlformats.org/officeDocument/2006/relationships/hyperlink" Target="https://www.aliexpress.us/item/3256808046771474.html" TargetMode="External"/><Relationship Id="rId3" Type="http://schemas.openxmlformats.org/officeDocument/2006/relationships/hyperlink" Target="https://www.amazon.com/dp/B08R6BCSY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us/item/3256805787035895.html" TargetMode="External"/><Relationship Id="rId13" Type="http://schemas.openxmlformats.org/officeDocument/2006/relationships/hyperlink" Target="https://www.aliexpress.us/item/3256801327743339.html" TargetMode="External"/><Relationship Id="rId18" Type="http://schemas.openxmlformats.org/officeDocument/2006/relationships/hyperlink" Target="https://www.adafruit.com/product/3153" TargetMode="External"/><Relationship Id="rId26" Type="http://schemas.openxmlformats.org/officeDocument/2006/relationships/hyperlink" Target="https://www.amazon.com/dp/B0D78PBK4K" TargetMode="External"/><Relationship Id="rId3" Type="http://schemas.openxmlformats.org/officeDocument/2006/relationships/hyperlink" Target="https://www.aliexpress.us/item/3256807442706139.html" TargetMode="External"/><Relationship Id="rId21" Type="http://schemas.openxmlformats.org/officeDocument/2006/relationships/hyperlink" Target="https://www.amazon.com/dp/B0F28618FV" TargetMode="External"/><Relationship Id="rId7" Type="http://schemas.openxmlformats.org/officeDocument/2006/relationships/hyperlink" Target="https://www.amazon.com/dp/B0B8Z14K3T/" TargetMode="External"/><Relationship Id="rId12" Type="http://schemas.openxmlformats.org/officeDocument/2006/relationships/hyperlink" Target="https://www.aliexpress.us/item/3256804349544912.html" TargetMode="External"/><Relationship Id="rId17" Type="http://schemas.openxmlformats.org/officeDocument/2006/relationships/hyperlink" Target="https://www.adafruit.com/product/3149" TargetMode="External"/><Relationship Id="rId25" Type="http://schemas.openxmlformats.org/officeDocument/2006/relationships/hyperlink" Target="https://www.aliexpress.us/item/3256809879566136.html" TargetMode="External"/><Relationship Id="rId2" Type="http://schemas.openxmlformats.org/officeDocument/2006/relationships/hyperlink" Target="https://www.aliexpress.us/item/3256807469514168.html" TargetMode="External"/><Relationship Id="rId16" Type="http://schemas.openxmlformats.org/officeDocument/2006/relationships/hyperlink" Target="https://www.aliexpress.us/item/3256804212916663.html" TargetMode="External"/><Relationship Id="rId20" Type="http://schemas.openxmlformats.org/officeDocument/2006/relationships/hyperlink" Target="https://www.amazon.com/dp/B0G8HGNHWH" TargetMode="External"/><Relationship Id="rId1" Type="http://schemas.openxmlformats.org/officeDocument/2006/relationships/hyperlink" Target="https://www.aliexpress.us/item/3256807796309465.html" TargetMode="External"/><Relationship Id="rId6" Type="http://schemas.openxmlformats.org/officeDocument/2006/relationships/hyperlink" Target="https://www.aliexpress.us/item/2255800145982269.html" TargetMode="External"/><Relationship Id="rId11" Type="http://schemas.openxmlformats.org/officeDocument/2006/relationships/hyperlink" Target="https://www.aliexpress.us/item/3256808585524708.html" TargetMode="External"/><Relationship Id="rId24" Type="http://schemas.openxmlformats.org/officeDocument/2006/relationships/hyperlink" Target="https://www.amazon.com/dp/B0B4FSVCPT" TargetMode="External"/><Relationship Id="rId5" Type="http://schemas.openxmlformats.org/officeDocument/2006/relationships/hyperlink" Target="https://www.aliexpress.us/item/3256806957282138.html" TargetMode="External"/><Relationship Id="rId15" Type="http://schemas.openxmlformats.org/officeDocument/2006/relationships/hyperlink" Target="https://www.aliexpress.us/item/3256804212916663.html" TargetMode="External"/><Relationship Id="rId23" Type="http://schemas.openxmlformats.org/officeDocument/2006/relationships/hyperlink" Target="https://www.aliexpress.us/item/3256805779852270.html" TargetMode="External"/><Relationship Id="rId10" Type="http://schemas.openxmlformats.org/officeDocument/2006/relationships/hyperlink" Target="https://www.aliexpress.us/item/3256812379729214.html" TargetMode="External"/><Relationship Id="rId19" Type="http://schemas.openxmlformats.org/officeDocument/2006/relationships/hyperlink" Target="https://www.amazon.com/dp/B09JW4QQJ2" TargetMode="External"/><Relationship Id="rId4" Type="http://schemas.openxmlformats.org/officeDocument/2006/relationships/hyperlink" Target="https://www.amazon.com/dp/B01CHYIU26" TargetMode="External"/><Relationship Id="rId9" Type="http://schemas.openxmlformats.org/officeDocument/2006/relationships/hyperlink" Target="https://www.aliexpress.us/item/3256806849046153.html" TargetMode="External"/><Relationship Id="rId14" Type="http://schemas.openxmlformats.org/officeDocument/2006/relationships/hyperlink" Target="https://www.aliexpress.us/item/3256810260002611.html" TargetMode="External"/><Relationship Id="rId22" Type="http://schemas.openxmlformats.org/officeDocument/2006/relationships/hyperlink" Target="https://www.amazon.com/dp/B0F8HPFXX5" TargetMode="External"/><Relationship Id="rId27" Type="http://schemas.openxmlformats.org/officeDocument/2006/relationships/hyperlink" Target="https://www.aliexpress.us/item/325681162505364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8"/>
  <sheetViews>
    <sheetView zoomScale="69" workbookViewId="0">
      <pane xSplit="1" ySplit="4" topLeftCell="E5" activePane="bottomRight" state="frozen"/>
      <selection pane="topRight"/>
      <selection pane="bottomLeft"/>
      <selection pane="bottomRight" activeCell="F11" sqref="F11"/>
    </sheetView>
  </sheetViews>
  <sheetFormatPr defaultRowHeight="14.5" x14ac:dyDescent="0.35"/>
  <cols>
    <col min="1" max="1" width="34" customWidth="1"/>
    <col min="2" max="2" width="5" customWidth="1"/>
    <col min="3" max="3" width="28" customWidth="1"/>
    <col min="4" max="4" width="11" customWidth="1"/>
    <col min="5" max="5" width="16" customWidth="1"/>
    <col min="6" max="6" width="24" customWidth="1"/>
    <col min="7" max="7" width="13" customWidth="1"/>
    <col min="8" max="8" width="18" customWidth="1"/>
    <col min="9" max="9" width="17" customWidth="1"/>
    <col min="10" max="10" width="13" customWidth="1"/>
    <col min="11" max="11" width="12" customWidth="1"/>
    <col min="12" max="12" width="11" customWidth="1"/>
    <col min="13" max="13" width="60" customWidth="1"/>
  </cols>
  <sheetData>
    <row r="1" spans="1:13" ht="18" customHeight="1" x14ac:dyDescent="0.4">
      <c r="A1" s="1" t="s">
        <v>0</v>
      </c>
      <c r="D1" t="s">
        <v>1</v>
      </c>
      <c r="E1" s="17">
        <f>SUM(G5:G7,G9:G10,G12:G15,D8,D11,G19)</f>
        <v>51.870000000000005</v>
      </c>
    </row>
    <row r="2" spans="1:13" x14ac:dyDescent="0.35">
      <c r="A2" s="20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3" ht="32" customHeight="1" x14ac:dyDescent="0.35">
      <c r="A4" s="2" t="s">
        <v>3</v>
      </c>
      <c r="B4" s="2" t="s">
        <v>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  <c r="J4" s="2" t="s">
        <v>82</v>
      </c>
      <c r="K4" s="2" t="s">
        <v>7</v>
      </c>
      <c r="L4" s="2" t="s">
        <v>83</v>
      </c>
      <c r="M4" s="2" t="s">
        <v>84</v>
      </c>
    </row>
    <row r="5" spans="1:13" ht="28" customHeight="1" x14ac:dyDescent="0.35">
      <c r="A5" s="3" t="s">
        <v>9</v>
      </c>
      <c r="B5" s="3">
        <v>1</v>
      </c>
      <c r="C5" s="4" t="s">
        <v>85</v>
      </c>
      <c r="D5" s="5">
        <v>11.99</v>
      </c>
      <c r="E5" s="3" t="s">
        <v>86</v>
      </c>
      <c r="F5" s="4" t="s">
        <v>10</v>
      </c>
      <c r="G5" s="5">
        <v>4.59</v>
      </c>
      <c r="H5" s="3" t="s">
        <v>87</v>
      </c>
      <c r="I5" s="3" t="s">
        <v>88</v>
      </c>
      <c r="J5" s="6">
        <f t="shared" ref="J5:J15" si="0">D5-G5</f>
        <v>7.4</v>
      </c>
      <c r="K5" s="7" t="s">
        <v>11</v>
      </c>
      <c r="L5" s="6">
        <f t="shared" ref="L5:L15" si="1">IF(K5="Amazon",D5,IF(K5="AliExpress",G5,0))</f>
        <v>4.59</v>
      </c>
      <c r="M5" s="3" t="s">
        <v>89</v>
      </c>
    </row>
    <row r="6" spans="1:13" ht="28" customHeight="1" x14ac:dyDescent="0.35">
      <c r="A6" s="3" t="s">
        <v>13</v>
      </c>
      <c r="B6" s="3">
        <v>1</v>
      </c>
      <c r="C6" s="4" t="s">
        <v>90</v>
      </c>
      <c r="D6" s="5">
        <v>7.99</v>
      </c>
      <c r="E6" s="3" t="s">
        <v>91</v>
      </c>
      <c r="F6" s="4" t="s">
        <v>14</v>
      </c>
      <c r="G6" s="5">
        <v>2.41</v>
      </c>
      <c r="H6" s="3" t="s">
        <v>92</v>
      </c>
      <c r="I6" s="3" t="s">
        <v>14</v>
      </c>
      <c r="J6" s="6">
        <f t="shared" si="0"/>
        <v>5.58</v>
      </c>
      <c r="K6" s="7" t="s">
        <v>11</v>
      </c>
      <c r="L6" s="6">
        <f t="shared" si="1"/>
        <v>2.41</v>
      </c>
      <c r="M6" s="3" t="s">
        <v>93</v>
      </c>
    </row>
    <row r="7" spans="1:13" x14ac:dyDescent="0.35">
      <c r="A7" s="3" t="s">
        <v>16</v>
      </c>
      <c r="B7" s="3">
        <v>1</v>
      </c>
      <c r="C7" s="4" t="s">
        <v>22</v>
      </c>
      <c r="D7" s="5">
        <v>6.88</v>
      </c>
      <c r="E7" s="3" t="s">
        <v>94</v>
      </c>
      <c r="F7" s="4" t="s">
        <v>17</v>
      </c>
      <c r="G7" s="5">
        <v>2.34</v>
      </c>
      <c r="H7" s="3" t="s">
        <v>95</v>
      </c>
      <c r="I7" s="3"/>
      <c r="J7" s="6">
        <f t="shared" si="0"/>
        <v>4.54</v>
      </c>
      <c r="K7" s="7" t="s">
        <v>11</v>
      </c>
      <c r="L7" s="6">
        <f t="shared" si="1"/>
        <v>2.34</v>
      </c>
      <c r="M7" s="3" t="s">
        <v>96</v>
      </c>
    </row>
    <row r="8" spans="1:13" ht="28" customHeight="1" x14ac:dyDescent="0.35">
      <c r="A8" s="3" t="s">
        <v>19</v>
      </c>
      <c r="B8" s="3">
        <v>1</v>
      </c>
      <c r="C8" s="4" t="s">
        <v>20</v>
      </c>
      <c r="D8" s="5">
        <v>11.49</v>
      </c>
      <c r="E8" s="3" t="s">
        <v>97</v>
      </c>
      <c r="F8" s="4" t="s">
        <v>98</v>
      </c>
      <c r="G8" s="5">
        <v>7.34</v>
      </c>
      <c r="H8" s="3" t="s">
        <v>99</v>
      </c>
      <c r="I8" s="3" t="s">
        <v>100</v>
      </c>
      <c r="J8" s="6">
        <f t="shared" si="0"/>
        <v>4.1500000000000004</v>
      </c>
      <c r="K8" s="7" t="s">
        <v>21</v>
      </c>
      <c r="L8" s="6">
        <f t="shared" si="1"/>
        <v>11.49</v>
      </c>
      <c r="M8" s="3" t="s">
        <v>101</v>
      </c>
    </row>
    <row r="9" spans="1:13" ht="42" customHeight="1" x14ac:dyDescent="0.35">
      <c r="A9" s="3" t="s">
        <v>23</v>
      </c>
      <c r="B9" s="3">
        <v>1</v>
      </c>
      <c r="C9" s="4" t="s">
        <v>102</v>
      </c>
      <c r="D9" s="5">
        <v>7.99</v>
      </c>
      <c r="E9" s="3" t="s">
        <v>103</v>
      </c>
      <c r="F9" s="4" t="s">
        <v>24</v>
      </c>
      <c r="G9" s="5">
        <v>3.14</v>
      </c>
      <c r="H9" s="3" t="s">
        <v>104</v>
      </c>
      <c r="I9" s="3" t="s">
        <v>105</v>
      </c>
      <c r="J9" s="6">
        <f t="shared" si="0"/>
        <v>4.8499999999999996</v>
      </c>
      <c r="K9" s="7" t="s">
        <v>11</v>
      </c>
      <c r="L9" s="6">
        <f t="shared" si="1"/>
        <v>3.14</v>
      </c>
      <c r="M9" s="3" t="s">
        <v>106</v>
      </c>
    </row>
    <row r="10" spans="1:13" x14ac:dyDescent="0.35">
      <c r="A10" s="3" t="s">
        <v>26</v>
      </c>
      <c r="B10" s="3">
        <v>1</v>
      </c>
      <c r="C10" s="4" t="s">
        <v>14</v>
      </c>
      <c r="D10" s="5">
        <v>9.39</v>
      </c>
      <c r="E10" s="3" t="s">
        <v>94</v>
      </c>
      <c r="F10" s="4" t="s">
        <v>27</v>
      </c>
      <c r="G10" s="5">
        <v>1.48</v>
      </c>
      <c r="H10" s="3" t="s">
        <v>107</v>
      </c>
      <c r="I10" s="3"/>
      <c r="J10" s="6">
        <f t="shared" si="0"/>
        <v>7.91</v>
      </c>
      <c r="K10" s="7" t="s">
        <v>11</v>
      </c>
      <c r="L10" s="6">
        <f t="shared" si="1"/>
        <v>1.48</v>
      </c>
      <c r="M10" s="3" t="s">
        <v>108</v>
      </c>
    </row>
    <row r="11" spans="1:13" ht="28" customHeight="1" x14ac:dyDescent="0.35">
      <c r="A11" s="3" t="s">
        <v>28</v>
      </c>
      <c r="B11" s="3">
        <v>2</v>
      </c>
      <c r="C11" s="4" t="s">
        <v>29</v>
      </c>
      <c r="D11" s="5">
        <v>7.99</v>
      </c>
      <c r="E11" s="3" t="s">
        <v>109</v>
      </c>
      <c r="F11" s="4" t="s">
        <v>110</v>
      </c>
      <c r="G11" s="5">
        <v>4.4000000000000004</v>
      </c>
      <c r="H11" s="3" t="s">
        <v>111</v>
      </c>
      <c r="I11" s="3" t="s">
        <v>112</v>
      </c>
      <c r="J11" s="6">
        <f t="shared" si="0"/>
        <v>3.59</v>
      </c>
      <c r="K11" s="7" t="s">
        <v>21</v>
      </c>
      <c r="L11" s="6">
        <f t="shared" si="1"/>
        <v>7.99</v>
      </c>
      <c r="M11" s="3" t="s">
        <v>113</v>
      </c>
    </row>
    <row r="12" spans="1:13" ht="28" customHeight="1" x14ac:dyDescent="0.35">
      <c r="A12" s="3" t="s">
        <v>31</v>
      </c>
      <c r="B12" s="3">
        <v>1</v>
      </c>
      <c r="C12" s="4" t="s">
        <v>114</v>
      </c>
      <c r="D12" s="5">
        <v>8.9</v>
      </c>
      <c r="E12" s="3" t="s">
        <v>115</v>
      </c>
      <c r="F12" s="4" t="s">
        <v>32</v>
      </c>
      <c r="G12" s="5">
        <v>2.86</v>
      </c>
      <c r="H12" s="3" t="s">
        <v>116</v>
      </c>
      <c r="I12" s="3" t="s">
        <v>117</v>
      </c>
      <c r="J12" s="6">
        <f t="shared" si="0"/>
        <v>6.0400000000000009</v>
      </c>
      <c r="K12" s="7" t="s">
        <v>11</v>
      </c>
      <c r="L12" s="6">
        <f t="shared" si="1"/>
        <v>2.86</v>
      </c>
      <c r="M12" s="3" t="s">
        <v>118</v>
      </c>
    </row>
    <row r="13" spans="1:13" ht="28" customHeight="1" x14ac:dyDescent="0.35">
      <c r="A13" s="3" t="s">
        <v>34</v>
      </c>
      <c r="B13" s="3">
        <v>1</v>
      </c>
      <c r="C13" s="4" t="s">
        <v>119</v>
      </c>
      <c r="D13" s="5">
        <v>13.99</v>
      </c>
      <c r="E13" s="3" t="s">
        <v>120</v>
      </c>
      <c r="F13" s="4" t="s">
        <v>24</v>
      </c>
      <c r="G13" s="5">
        <v>5.91</v>
      </c>
      <c r="H13" s="3" t="s">
        <v>121</v>
      </c>
      <c r="I13" s="3" t="s">
        <v>122</v>
      </c>
      <c r="J13" s="6">
        <f t="shared" si="0"/>
        <v>8.08</v>
      </c>
      <c r="K13" s="7" t="s">
        <v>11</v>
      </c>
      <c r="L13" s="6">
        <f t="shared" si="1"/>
        <v>5.91</v>
      </c>
      <c r="M13" s="3" t="s">
        <v>123</v>
      </c>
    </row>
    <row r="14" spans="1:13" x14ac:dyDescent="0.35">
      <c r="A14" s="3" t="s">
        <v>36</v>
      </c>
      <c r="B14" s="3">
        <v>1</v>
      </c>
      <c r="C14" s="4" t="s">
        <v>124</v>
      </c>
      <c r="D14" s="5">
        <v>3.99</v>
      </c>
      <c r="E14" s="3" t="s">
        <v>125</v>
      </c>
      <c r="F14" s="4" t="s">
        <v>37</v>
      </c>
      <c r="G14" s="5">
        <v>3.32</v>
      </c>
      <c r="H14" s="3"/>
      <c r="I14" s="3" t="s">
        <v>126</v>
      </c>
      <c r="J14" s="6">
        <f t="shared" si="0"/>
        <v>0.67000000000000037</v>
      </c>
      <c r="K14" s="7" t="s">
        <v>11</v>
      </c>
      <c r="L14" s="6">
        <f t="shared" si="1"/>
        <v>3.32</v>
      </c>
      <c r="M14" s="3" t="s">
        <v>127</v>
      </c>
    </row>
    <row r="15" spans="1:13" x14ac:dyDescent="0.35">
      <c r="A15" s="3" t="s">
        <v>39</v>
      </c>
      <c r="B15" s="3">
        <v>1</v>
      </c>
      <c r="C15" s="4" t="s">
        <v>128</v>
      </c>
      <c r="D15" s="5">
        <v>13.99</v>
      </c>
      <c r="E15" s="3" t="s">
        <v>86</v>
      </c>
      <c r="F15" s="4" t="s">
        <v>14</v>
      </c>
      <c r="G15" s="5">
        <v>4.1500000000000004</v>
      </c>
      <c r="H15" s="3" t="s">
        <v>129</v>
      </c>
      <c r="I15" s="3" t="s">
        <v>130</v>
      </c>
      <c r="J15" s="6">
        <f t="shared" si="0"/>
        <v>9.84</v>
      </c>
      <c r="K15" s="7" t="s">
        <v>11</v>
      </c>
      <c r="L15" s="6">
        <f t="shared" si="1"/>
        <v>4.1500000000000004</v>
      </c>
      <c r="M15" s="3" t="s">
        <v>131</v>
      </c>
    </row>
    <row r="16" spans="1:13" x14ac:dyDescent="0.35">
      <c r="A16" s="8" t="s">
        <v>46</v>
      </c>
      <c r="B16" s="9"/>
      <c r="C16" s="9"/>
      <c r="D16" s="10" t="str">
        <f ca="1">SUM(D5:D30)</f>
        <v/>
      </c>
      <c r="E16" s="9"/>
      <c r="F16" s="9"/>
      <c r="G16" s="10" t="str">
        <f ca="1">SUM(G5:G30)</f>
        <v/>
      </c>
      <c r="H16" s="9"/>
      <c r="I16" s="9"/>
      <c r="J16" s="10" t="str">
        <f ca="1">SUM(J5:J30)</f>
        <v/>
      </c>
      <c r="K16" s="9"/>
      <c r="L16" s="10" t="str">
        <f ca="1">SUM(L5:L30)</f>
        <v/>
      </c>
      <c r="M16" s="11" t="s">
        <v>132</v>
      </c>
    </row>
    <row r="18" spans="1:13" x14ac:dyDescent="0.35">
      <c r="A18" s="12" t="s">
        <v>133</v>
      </c>
    </row>
    <row r="19" spans="1:13" ht="28" customHeight="1" x14ac:dyDescent="0.35">
      <c r="A19" s="3" t="s">
        <v>47</v>
      </c>
      <c r="B19" s="3">
        <v>1</v>
      </c>
      <c r="C19" s="4" t="s">
        <v>134</v>
      </c>
      <c r="D19" s="5">
        <v>7.49</v>
      </c>
      <c r="E19" s="3" t="s">
        <v>94</v>
      </c>
      <c r="F19" s="4" t="s">
        <v>48</v>
      </c>
      <c r="G19" s="5">
        <v>2.19</v>
      </c>
      <c r="H19" s="3" t="s">
        <v>135</v>
      </c>
      <c r="I19" s="3" t="s">
        <v>136</v>
      </c>
      <c r="J19" s="6">
        <f>D19-G19</f>
        <v>5.3000000000000007</v>
      </c>
      <c r="K19" s="7" t="s">
        <v>11</v>
      </c>
      <c r="L19" s="6">
        <f>IF(K19="Amazon",D19,IF(K19="AliExpress",G19,0))</f>
        <v>2.19</v>
      </c>
      <c r="M19" s="3" t="s">
        <v>137</v>
      </c>
    </row>
    <row r="20" spans="1:13" x14ac:dyDescent="0.35">
      <c r="A20" s="8" t="s">
        <v>50</v>
      </c>
      <c r="B20" s="9"/>
      <c r="C20" s="9"/>
      <c r="D20" s="10" t="str">
        <f ca="1">D16+SUM(D19:D19)</f>
        <v/>
      </c>
      <c r="E20" s="9"/>
      <c r="F20" s="9"/>
      <c r="G20" s="10" t="str">
        <f ca="1">G16+SUM(G19:G19)</f>
        <v/>
      </c>
      <c r="H20" s="9"/>
      <c r="I20" s="9"/>
      <c r="J20" s="10" t="str">
        <f ca="1">J16+SUM(J19:J19)</f>
        <v/>
      </c>
      <c r="K20" s="9"/>
      <c r="L20" s="10" t="str">
        <f ca="1">L16+SUM(L19:L19)</f>
        <v/>
      </c>
      <c r="M20" s="9"/>
    </row>
    <row r="22" spans="1:13" x14ac:dyDescent="0.35">
      <c r="A22" s="12" t="s">
        <v>51</v>
      </c>
    </row>
    <row r="23" spans="1:13" x14ac:dyDescent="0.35">
      <c r="A23" s="16" t="s">
        <v>138</v>
      </c>
    </row>
    <row r="24" spans="1:13" ht="28" customHeight="1" x14ac:dyDescent="0.35">
      <c r="A24" s="4" t="s">
        <v>54</v>
      </c>
      <c r="B24" s="13"/>
      <c r="C24" s="13"/>
      <c r="D24" s="5">
        <v>19.95</v>
      </c>
      <c r="E24" s="13"/>
      <c r="F24" s="13"/>
      <c r="G24" s="13"/>
      <c r="H24" s="13"/>
      <c r="I24" s="13"/>
      <c r="J24" s="13"/>
      <c r="K24" s="13"/>
      <c r="L24" s="13"/>
      <c r="M24" s="3" t="s">
        <v>139</v>
      </c>
    </row>
    <row r="25" spans="1:13" x14ac:dyDescent="0.35">
      <c r="A25" s="4" t="s">
        <v>55</v>
      </c>
      <c r="B25" s="13"/>
      <c r="C25" s="13"/>
      <c r="D25" s="5">
        <v>11.95</v>
      </c>
      <c r="E25" s="13"/>
      <c r="F25" s="13"/>
      <c r="G25" s="13"/>
      <c r="H25" s="13"/>
      <c r="I25" s="13"/>
      <c r="J25" s="13"/>
      <c r="K25" s="13"/>
      <c r="L25" s="13"/>
      <c r="M25" s="3" t="s">
        <v>140</v>
      </c>
    </row>
    <row r="26" spans="1:13" x14ac:dyDescent="0.35">
      <c r="A26" s="4" t="s">
        <v>56</v>
      </c>
      <c r="B26" s="13"/>
      <c r="C26" s="13"/>
      <c r="D26" s="5">
        <v>9.99</v>
      </c>
      <c r="E26" s="13" t="s">
        <v>57</v>
      </c>
      <c r="F26" s="13"/>
      <c r="G26" s="13"/>
      <c r="H26" s="13"/>
      <c r="I26" s="13"/>
      <c r="J26" s="13"/>
      <c r="K26" s="13"/>
      <c r="L26" s="13"/>
      <c r="M26" s="3" t="s">
        <v>141</v>
      </c>
    </row>
    <row r="27" spans="1:13" ht="28" customHeight="1" x14ac:dyDescent="0.35">
      <c r="A27" s="4" t="s">
        <v>58</v>
      </c>
      <c r="B27" s="13"/>
      <c r="C27" s="13"/>
      <c r="D27" s="5">
        <v>6.99</v>
      </c>
      <c r="E27" s="13" t="s">
        <v>59</v>
      </c>
      <c r="F27" s="13"/>
      <c r="G27" s="13"/>
      <c r="H27" s="13"/>
      <c r="I27" s="13"/>
      <c r="J27" s="13"/>
      <c r="K27" s="13"/>
      <c r="L27" s="13"/>
      <c r="M27" s="3" t="s">
        <v>142</v>
      </c>
    </row>
    <row r="28" spans="1:13" x14ac:dyDescent="0.35">
      <c r="A28" s="4" t="s">
        <v>60</v>
      </c>
      <c r="B28" s="13"/>
      <c r="C28" s="13"/>
      <c r="D28" s="5">
        <v>7.99</v>
      </c>
      <c r="E28" s="13" t="s">
        <v>59</v>
      </c>
      <c r="F28" s="13"/>
      <c r="G28" s="13"/>
      <c r="H28" s="13"/>
      <c r="I28" s="13"/>
      <c r="J28" s="13"/>
      <c r="K28" s="13"/>
      <c r="L28" s="13"/>
      <c r="M28" s="3" t="s">
        <v>143</v>
      </c>
    </row>
    <row r="29" spans="1:13" x14ac:dyDescent="0.35">
      <c r="A29" s="3" t="s">
        <v>41</v>
      </c>
      <c r="B29" s="3">
        <v>1</v>
      </c>
      <c r="C29" s="4" t="s">
        <v>144</v>
      </c>
      <c r="D29" s="5">
        <v>5.99</v>
      </c>
      <c r="E29" s="3" t="s">
        <v>59</v>
      </c>
      <c r="F29" s="4" t="s">
        <v>42</v>
      </c>
      <c r="G29" s="5">
        <v>2.71</v>
      </c>
      <c r="H29" s="3" t="s">
        <v>145</v>
      </c>
      <c r="I29" s="3" t="s">
        <v>146</v>
      </c>
      <c r="J29" s="6">
        <f>D29-G29</f>
        <v>3.2800000000000002</v>
      </c>
      <c r="K29" s="7" t="s">
        <v>11</v>
      </c>
      <c r="L29" s="6">
        <f>IF(K29="Amazon",D29,IF(K29="AliExpress",G29,0))</f>
        <v>2.71</v>
      </c>
      <c r="M29" s="3" t="s">
        <v>147</v>
      </c>
    </row>
    <row r="30" spans="1:13" x14ac:dyDescent="0.35">
      <c r="A30" s="3" t="s">
        <v>61</v>
      </c>
      <c r="B30" s="3">
        <v>1</v>
      </c>
      <c r="C30" s="4" t="s">
        <v>62</v>
      </c>
      <c r="D30" s="5">
        <v>8.99</v>
      </c>
      <c r="E30" s="3" t="s">
        <v>59</v>
      </c>
      <c r="F30" s="4" t="s">
        <v>63</v>
      </c>
      <c r="G30" s="5">
        <v>5.65</v>
      </c>
      <c r="H30" s="3" t="s">
        <v>148</v>
      </c>
      <c r="I30" s="3" t="s">
        <v>149</v>
      </c>
      <c r="J30" s="6">
        <f>D30-G30</f>
        <v>3.34</v>
      </c>
      <c r="K30" s="7" t="s">
        <v>11</v>
      </c>
      <c r="L30" s="6">
        <f>IF(K30="Amazon",D30,IF(K30="AliExpress",G30,0))</f>
        <v>5.65</v>
      </c>
      <c r="M30" s="3" t="s">
        <v>127</v>
      </c>
    </row>
    <row r="31" spans="1:13" x14ac:dyDescent="0.35">
      <c r="A31" s="3" t="s">
        <v>64</v>
      </c>
      <c r="B31" s="3">
        <v>1</v>
      </c>
      <c r="C31" s="4" t="s">
        <v>65</v>
      </c>
      <c r="D31" s="5">
        <v>3.99</v>
      </c>
      <c r="E31" s="3" t="s">
        <v>59</v>
      </c>
      <c r="F31" s="4" t="s">
        <v>66</v>
      </c>
      <c r="G31" s="5">
        <v>1.84</v>
      </c>
      <c r="H31" s="3" t="s">
        <v>150</v>
      </c>
      <c r="I31" s="3" t="s">
        <v>151</v>
      </c>
      <c r="J31" s="6">
        <f>D31-G31</f>
        <v>2.1500000000000004</v>
      </c>
      <c r="K31" s="7" t="s">
        <v>11</v>
      </c>
      <c r="L31" s="6">
        <f>IF(K31="Amazon",D31,IF(K31="AliExpress",G31,0))</f>
        <v>1.84</v>
      </c>
      <c r="M31" s="3" t="s">
        <v>152</v>
      </c>
    </row>
    <row r="32" spans="1:13" x14ac:dyDescent="0.35">
      <c r="A32" s="3" t="s">
        <v>67</v>
      </c>
      <c r="B32" s="3">
        <v>1</v>
      </c>
      <c r="C32" s="4" t="s">
        <v>68</v>
      </c>
      <c r="D32" s="5">
        <v>5.99</v>
      </c>
      <c r="E32" s="3" t="s">
        <v>59</v>
      </c>
      <c r="F32" s="4" t="s">
        <v>69</v>
      </c>
      <c r="G32" s="5">
        <v>2.75</v>
      </c>
      <c r="H32" s="3" t="s">
        <v>87</v>
      </c>
      <c r="I32" s="3" t="s">
        <v>153</v>
      </c>
      <c r="J32" s="6">
        <f>D32-G32</f>
        <v>3.24</v>
      </c>
      <c r="K32" s="7" t="s">
        <v>11</v>
      </c>
      <c r="L32" s="6">
        <f>IF(K32="Amazon",D32,IF(K32="AliExpress",G32,0))</f>
        <v>2.75</v>
      </c>
      <c r="M32" s="3" t="s">
        <v>152</v>
      </c>
    </row>
    <row r="34" spans="1:1" x14ac:dyDescent="0.35">
      <c r="A34" s="14" t="s">
        <v>70</v>
      </c>
    </row>
    <row r="35" spans="1:1" x14ac:dyDescent="0.35">
      <c r="A35" s="15" t="s">
        <v>71</v>
      </c>
    </row>
    <row r="36" spans="1:1" x14ac:dyDescent="0.35">
      <c r="A36" s="15" t="s">
        <v>72</v>
      </c>
    </row>
    <row r="37" spans="1:1" x14ac:dyDescent="0.35">
      <c r="A37" s="15" t="s">
        <v>73</v>
      </c>
    </row>
    <row r="38" spans="1:1" x14ac:dyDescent="0.35">
      <c r="A38" s="15" t="s">
        <v>74</v>
      </c>
    </row>
  </sheetData>
  <mergeCells count="1">
    <mergeCell ref="A2:M2"/>
  </mergeCells>
  <conditionalFormatting sqref="D5:D15">
    <cfRule type="expression" dxfId="8" priority="1">
      <formula>D5&lt;G5</formula>
    </cfRule>
  </conditionalFormatting>
  <conditionalFormatting sqref="D29:D32">
    <cfRule type="expression" dxfId="7" priority="7">
      <formula>D29&lt;G29</formula>
    </cfRule>
  </conditionalFormatting>
  <conditionalFormatting sqref="G5:G15">
    <cfRule type="expression" dxfId="6" priority="2">
      <formula>G5&lt;D5</formula>
    </cfRule>
  </conditionalFormatting>
  <conditionalFormatting sqref="G29:G32">
    <cfRule type="expression" dxfId="5" priority="8">
      <formula>G29&lt;D29</formula>
    </cfRule>
  </conditionalFormatting>
  <dataValidations count="1">
    <dataValidation type="list" allowBlank="1" sqref="K5:K15 K19 K29:K32" xr:uid="{00000000-0002-0000-0000-000000000000}">
      <formula1>"Amazon,AliExpress,None"</formula1>
    </dataValidation>
  </dataValidations>
  <hyperlinks>
    <hyperlink ref="C5" r:id="rId1" xr:uid="{00000000-0004-0000-0000-000000000000}"/>
    <hyperlink ref="F5" r:id="rId2" xr:uid="{00000000-0004-0000-0000-000001000000}"/>
    <hyperlink ref="C6" r:id="rId3" xr:uid="{00000000-0004-0000-0000-000002000000}"/>
    <hyperlink ref="F6" r:id="rId4" xr:uid="{00000000-0004-0000-0000-000003000000}"/>
    <hyperlink ref="C7" r:id="rId5" xr:uid="{00000000-0004-0000-0000-000004000000}"/>
    <hyperlink ref="F7" r:id="rId6" xr:uid="{00000000-0004-0000-0000-000005000000}"/>
    <hyperlink ref="C8" r:id="rId7" xr:uid="{00000000-0004-0000-0000-000006000000}"/>
    <hyperlink ref="F8" r:id="rId8" xr:uid="{00000000-0004-0000-0000-000007000000}"/>
    <hyperlink ref="C9" r:id="rId9" xr:uid="{00000000-0004-0000-0000-000008000000}"/>
    <hyperlink ref="F9" r:id="rId10" xr:uid="{00000000-0004-0000-0000-000009000000}"/>
    <hyperlink ref="C10" r:id="rId11" xr:uid="{00000000-0004-0000-0000-00000A000000}"/>
    <hyperlink ref="F10" r:id="rId12" xr:uid="{00000000-0004-0000-0000-00000B000000}"/>
    <hyperlink ref="C11" r:id="rId13" xr:uid="{00000000-0004-0000-0000-00000C000000}"/>
    <hyperlink ref="F11" r:id="rId14" xr:uid="{00000000-0004-0000-0000-00000D000000}"/>
    <hyperlink ref="C12" r:id="rId15" xr:uid="{00000000-0004-0000-0000-00000E000000}"/>
    <hyperlink ref="F12" r:id="rId16" xr:uid="{00000000-0004-0000-0000-00000F000000}"/>
    <hyperlink ref="C13" r:id="rId17" xr:uid="{00000000-0004-0000-0000-000010000000}"/>
    <hyperlink ref="F13" r:id="rId18" xr:uid="{00000000-0004-0000-0000-000011000000}"/>
    <hyperlink ref="C14" r:id="rId19" xr:uid="{00000000-0004-0000-0000-000012000000}"/>
    <hyperlink ref="F14" r:id="rId20" xr:uid="{00000000-0004-0000-0000-000013000000}"/>
    <hyperlink ref="C15" r:id="rId21" xr:uid="{00000000-0004-0000-0000-000014000000}"/>
    <hyperlink ref="F15" r:id="rId22" xr:uid="{00000000-0004-0000-0000-000015000000}"/>
    <hyperlink ref="C19" r:id="rId23" xr:uid="{00000000-0004-0000-0000-000016000000}"/>
    <hyperlink ref="F19" r:id="rId24" xr:uid="{00000000-0004-0000-0000-000017000000}"/>
    <hyperlink ref="A23" r:id="rId25" xr:uid="{00000000-0004-0000-0000-000018000000}"/>
    <hyperlink ref="A24" r:id="rId26" xr:uid="{00000000-0004-0000-0000-000019000000}"/>
    <hyperlink ref="A25" r:id="rId27" xr:uid="{00000000-0004-0000-0000-00001A000000}"/>
    <hyperlink ref="A26" r:id="rId28" xr:uid="{00000000-0004-0000-0000-00001B000000}"/>
    <hyperlink ref="A27" r:id="rId29" xr:uid="{00000000-0004-0000-0000-00001C000000}"/>
    <hyperlink ref="A28" r:id="rId30" xr:uid="{00000000-0004-0000-0000-00001D000000}"/>
    <hyperlink ref="C29" r:id="rId31" xr:uid="{00000000-0004-0000-0000-00001E000000}"/>
    <hyperlink ref="F29" r:id="rId32" xr:uid="{00000000-0004-0000-0000-00001F000000}"/>
    <hyperlink ref="C30" r:id="rId33" xr:uid="{00000000-0004-0000-0000-000020000000}"/>
    <hyperlink ref="F30" r:id="rId34" xr:uid="{00000000-0004-0000-0000-000021000000}"/>
    <hyperlink ref="C31" r:id="rId35" xr:uid="{00000000-0004-0000-0000-000022000000}"/>
    <hyperlink ref="F31" r:id="rId36" xr:uid="{00000000-0004-0000-0000-000023000000}"/>
    <hyperlink ref="C32" r:id="rId37" xr:uid="{00000000-0004-0000-0000-000024000000}"/>
    <hyperlink ref="F32" r:id="rId38" xr:uid="{00000000-0004-0000-0000-000025000000}"/>
  </hyperlinks>
  <pageMargins left="0.75" right="0.75" top="1" bottom="1" header="0.5" footer="0.5"/>
  <pageSetup fitToHeight="0" orientation="landscape"/>
  <legacy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7"/>
  <sheetViews>
    <sheetView tabSelected="1" zoomScale="69" workbookViewId="0">
      <pane xSplit="1" ySplit="4" topLeftCell="B5" activePane="bottomRight" state="frozen"/>
      <selection pane="topRight"/>
      <selection pane="bottomLeft"/>
      <selection pane="bottomRight" activeCell="D47" sqref="D47"/>
    </sheetView>
  </sheetViews>
  <sheetFormatPr defaultRowHeight="14.5" x14ac:dyDescent="0.35"/>
  <cols>
    <col min="1" max="1" width="34" customWidth="1"/>
    <col min="2" max="2" width="5" customWidth="1"/>
    <col min="3" max="3" width="28" customWidth="1"/>
    <col min="4" max="4" width="11" customWidth="1"/>
    <col min="5" max="5" width="16" customWidth="1"/>
    <col min="6" max="6" width="34" customWidth="1"/>
    <col min="7" max="7" width="13" customWidth="1"/>
    <col min="8" max="8" width="18" customWidth="1"/>
    <col min="9" max="9" width="17" customWidth="1"/>
    <col min="10" max="10" width="13" customWidth="1"/>
    <col min="11" max="11" width="12" customWidth="1"/>
    <col min="12" max="12" width="11" customWidth="1"/>
    <col min="13" max="13" width="60" customWidth="1"/>
  </cols>
  <sheetData>
    <row r="1" spans="1:13" ht="18" customHeight="1" x14ac:dyDescent="0.4">
      <c r="A1" s="1" t="s">
        <v>0</v>
      </c>
      <c r="D1" t="s">
        <v>1</v>
      </c>
      <c r="E1" s="17">
        <f>D20</f>
        <v>58.55</v>
      </c>
    </row>
    <row r="2" spans="1:13" x14ac:dyDescent="0.35">
      <c r="A2" s="20" t="s">
        <v>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1:13" ht="32" customHeight="1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13" ht="28" customHeight="1" x14ac:dyDescent="0.35">
      <c r="A5" s="3" t="s">
        <v>9</v>
      </c>
      <c r="B5" s="3">
        <v>1</v>
      </c>
      <c r="C5" s="18" t="s">
        <v>10</v>
      </c>
      <c r="D5" s="5">
        <v>4.75</v>
      </c>
      <c r="E5" s="7" t="s">
        <v>11</v>
      </c>
      <c r="F5" s="3" t="s">
        <v>12</v>
      </c>
    </row>
    <row r="6" spans="1:13" x14ac:dyDescent="0.35">
      <c r="A6" s="3" t="s">
        <v>13</v>
      </c>
      <c r="B6" s="3">
        <v>1</v>
      </c>
      <c r="C6" s="18" t="s">
        <v>14</v>
      </c>
      <c r="D6" s="5">
        <v>2.41</v>
      </c>
      <c r="E6" s="7" t="s">
        <v>11</v>
      </c>
      <c r="F6" s="3" t="s">
        <v>15</v>
      </c>
    </row>
    <row r="7" spans="1:13" x14ac:dyDescent="0.35">
      <c r="A7" s="3" t="s">
        <v>16</v>
      </c>
      <c r="B7" s="3">
        <v>1</v>
      </c>
      <c r="C7" s="18" t="s">
        <v>17</v>
      </c>
      <c r="D7" s="5">
        <v>2.34</v>
      </c>
      <c r="E7" s="7" t="s">
        <v>11</v>
      </c>
      <c r="F7" s="3" t="s">
        <v>18</v>
      </c>
    </row>
    <row r="8" spans="1:13" x14ac:dyDescent="0.35">
      <c r="A8" s="3" t="s">
        <v>19</v>
      </c>
      <c r="B8" s="3">
        <v>1</v>
      </c>
      <c r="C8" s="4" t="s">
        <v>20</v>
      </c>
      <c r="D8" s="5">
        <v>11.49</v>
      </c>
      <c r="E8" s="7" t="s">
        <v>21</v>
      </c>
      <c r="F8" s="3" t="s">
        <v>22</v>
      </c>
    </row>
    <row r="9" spans="1:13" x14ac:dyDescent="0.35">
      <c r="A9" s="3" t="s">
        <v>23</v>
      </c>
      <c r="B9" s="3">
        <v>1</v>
      </c>
      <c r="C9" s="18" t="s">
        <v>24</v>
      </c>
      <c r="D9" s="5">
        <v>3.14</v>
      </c>
      <c r="E9" s="7" t="s">
        <v>11</v>
      </c>
      <c r="F9" s="3" t="s">
        <v>25</v>
      </c>
    </row>
    <row r="10" spans="1:13" x14ac:dyDescent="0.35">
      <c r="A10" s="3" t="s">
        <v>26</v>
      </c>
      <c r="B10" s="3">
        <v>1</v>
      </c>
      <c r="C10" s="18" t="s">
        <v>27</v>
      </c>
      <c r="D10" s="5">
        <v>1.48</v>
      </c>
      <c r="E10" s="7" t="s">
        <v>11</v>
      </c>
      <c r="F10" s="3" t="s">
        <v>25</v>
      </c>
    </row>
    <row r="11" spans="1:13" x14ac:dyDescent="0.35">
      <c r="A11" s="3" t="s">
        <v>28</v>
      </c>
      <c r="B11" s="3">
        <v>2</v>
      </c>
      <c r="C11" s="18" t="s">
        <v>29</v>
      </c>
      <c r="D11" s="5">
        <v>7.99</v>
      </c>
      <c r="E11" s="7" t="s">
        <v>21</v>
      </c>
      <c r="F11" s="3" t="s">
        <v>30</v>
      </c>
    </row>
    <row r="12" spans="1:13" ht="29" customHeight="1" x14ac:dyDescent="0.35">
      <c r="A12" s="3" t="s">
        <v>31</v>
      </c>
      <c r="B12" s="3">
        <v>1</v>
      </c>
      <c r="C12" s="18" t="s">
        <v>32</v>
      </c>
      <c r="D12" s="5">
        <v>2.86</v>
      </c>
      <c r="E12" s="7" t="s">
        <v>11</v>
      </c>
      <c r="F12" s="3" t="s">
        <v>33</v>
      </c>
    </row>
    <row r="13" spans="1:13" x14ac:dyDescent="0.35">
      <c r="A13" s="3" t="s">
        <v>34</v>
      </c>
      <c r="B13" s="3">
        <v>1</v>
      </c>
      <c r="C13" s="18" t="s">
        <v>24</v>
      </c>
      <c r="D13" s="5">
        <v>5.91</v>
      </c>
      <c r="E13" s="7" t="s">
        <v>11</v>
      </c>
      <c r="F13" s="3" t="s">
        <v>35</v>
      </c>
    </row>
    <row r="14" spans="1:13" x14ac:dyDescent="0.35">
      <c r="A14" s="3" t="s">
        <v>36</v>
      </c>
      <c r="B14" s="3">
        <v>1</v>
      </c>
      <c r="C14" s="18" t="s">
        <v>37</v>
      </c>
      <c r="D14" s="5">
        <v>3.32</v>
      </c>
      <c r="E14" s="7" t="s">
        <v>11</v>
      </c>
      <c r="F14" s="3" t="s">
        <v>38</v>
      </c>
    </row>
    <row r="15" spans="1:13" x14ac:dyDescent="0.35">
      <c r="A15" s="3" t="s">
        <v>39</v>
      </c>
      <c r="B15" s="3">
        <v>1</v>
      </c>
      <c r="C15" s="18" t="s">
        <v>14</v>
      </c>
      <c r="D15" s="5">
        <v>4.1500000000000004</v>
      </c>
      <c r="E15" s="7" t="s">
        <v>11</v>
      </c>
      <c r="F15" s="3" t="s">
        <v>40</v>
      </c>
    </row>
    <row r="16" spans="1:13" x14ac:dyDescent="0.35">
      <c r="A16" s="3" t="s">
        <v>41</v>
      </c>
      <c r="B16" s="3">
        <v>1</v>
      </c>
      <c r="C16" s="18" t="s">
        <v>42</v>
      </c>
      <c r="D16" s="5">
        <v>3.4</v>
      </c>
      <c r="E16" s="7" t="s">
        <v>11</v>
      </c>
      <c r="F16" s="3" t="s">
        <v>43</v>
      </c>
    </row>
    <row r="17" spans="1:8" x14ac:dyDescent="0.35">
      <c r="A17" s="3" t="s">
        <v>44</v>
      </c>
      <c r="B17" s="3">
        <v>1</v>
      </c>
      <c r="C17" s="18" t="s">
        <v>44</v>
      </c>
      <c r="D17" s="5">
        <v>3.12</v>
      </c>
      <c r="E17" s="7"/>
      <c r="F17" s="3" t="s">
        <v>45</v>
      </c>
    </row>
    <row r="18" spans="1:8" x14ac:dyDescent="0.35">
      <c r="A18" s="8" t="s">
        <v>46</v>
      </c>
      <c r="B18" s="9"/>
      <c r="C18" s="9"/>
      <c r="D18" s="10">
        <f>SUM(D5:D17)</f>
        <v>56.36</v>
      </c>
      <c r="E18" s="9"/>
    </row>
    <row r="19" spans="1:8" ht="28" customHeight="1" x14ac:dyDescent="0.35">
      <c r="A19" s="3" t="s">
        <v>47</v>
      </c>
      <c r="B19" s="3">
        <v>1</v>
      </c>
      <c r="C19" s="18" t="s">
        <v>48</v>
      </c>
      <c r="D19" s="5">
        <v>2.19</v>
      </c>
      <c r="E19" s="7" t="s">
        <v>11</v>
      </c>
      <c r="F19" s="3" t="s">
        <v>49</v>
      </c>
    </row>
    <row r="20" spans="1:8" x14ac:dyDescent="0.35">
      <c r="A20" s="8" t="s">
        <v>50</v>
      </c>
      <c r="B20" s="9"/>
      <c r="C20" s="9"/>
      <c r="D20" s="10">
        <f>D18+SUM(D19:D19)</f>
        <v>58.55</v>
      </c>
      <c r="E20" s="9"/>
    </row>
    <row r="22" spans="1:8" x14ac:dyDescent="0.35">
      <c r="A22" s="12" t="s">
        <v>51</v>
      </c>
    </row>
    <row r="23" spans="1:8" x14ac:dyDescent="0.35">
      <c r="A23" s="16" t="s">
        <v>52</v>
      </c>
      <c r="B23">
        <v>1</v>
      </c>
      <c r="C23" s="16" t="s">
        <v>52</v>
      </c>
      <c r="D23" s="19">
        <v>2.82</v>
      </c>
      <c r="E23" s="7" t="s">
        <v>11</v>
      </c>
      <c r="F23" t="s">
        <v>53</v>
      </c>
    </row>
    <row r="24" spans="1:8" ht="28" customHeight="1" x14ac:dyDescent="0.35">
      <c r="A24" s="4" t="s">
        <v>54</v>
      </c>
      <c r="B24" s="13"/>
      <c r="C24" s="13"/>
      <c r="D24" s="5">
        <v>19.95</v>
      </c>
      <c r="E24" s="13"/>
      <c r="F24" s="13"/>
      <c r="G24" s="13"/>
      <c r="H24" s="13"/>
    </row>
    <row r="25" spans="1:8" x14ac:dyDescent="0.35">
      <c r="A25" s="4" t="s">
        <v>55</v>
      </c>
      <c r="B25" s="13"/>
      <c r="C25" s="13"/>
      <c r="D25" s="5">
        <v>11.95</v>
      </c>
      <c r="E25" s="13"/>
      <c r="F25" s="13"/>
      <c r="G25" s="13"/>
      <c r="H25" s="13"/>
    </row>
    <row r="26" spans="1:8" x14ac:dyDescent="0.35">
      <c r="A26" s="4" t="s">
        <v>56</v>
      </c>
      <c r="B26" s="13"/>
      <c r="C26" s="13"/>
      <c r="D26" s="5">
        <v>9.99</v>
      </c>
      <c r="E26" s="13" t="s">
        <v>57</v>
      </c>
      <c r="F26" s="13"/>
      <c r="G26" s="13"/>
      <c r="H26" s="13"/>
    </row>
    <row r="27" spans="1:8" x14ac:dyDescent="0.35">
      <c r="A27" s="4" t="s">
        <v>58</v>
      </c>
      <c r="B27" s="13"/>
      <c r="C27" s="13"/>
      <c r="D27" s="5">
        <v>6.99</v>
      </c>
      <c r="E27" s="13" t="s">
        <v>59</v>
      </c>
      <c r="F27" s="13"/>
      <c r="G27" s="13"/>
      <c r="H27" s="13"/>
    </row>
    <row r="28" spans="1:8" x14ac:dyDescent="0.35">
      <c r="A28" s="4" t="s">
        <v>60</v>
      </c>
      <c r="B28" s="13"/>
      <c r="C28" s="13"/>
      <c r="D28" s="5">
        <v>7.99</v>
      </c>
      <c r="E28" s="13" t="s">
        <v>59</v>
      </c>
      <c r="F28" s="13"/>
      <c r="G28" s="13"/>
      <c r="H28" s="13"/>
    </row>
    <row r="29" spans="1:8" x14ac:dyDescent="0.35">
      <c r="A29" s="3" t="s">
        <v>61</v>
      </c>
      <c r="B29" s="3">
        <v>1</v>
      </c>
      <c r="C29" s="4" t="s">
        <v>62</v>
      </c>
      <c r="D29" s="5">
        <v>8.99</v>
      </c>
      <c r="E29" s="3" t="s">
        <v>59</v>
      </c>
      <c r="F29" s="4" t="s">
        <v>63</v>
      </c>
      <c r="G29" s="5">
        <v>5.65</v>
      </c>
      <c r="H29" s="7" t="s">
        <v>11</v>
      </c>
    </row>
    <row r="30" spans="1:8" x14ac:dyDescent="0.35">
      <c r="A30" s="3" t="s">
        <v>64</v>
      </c>
      <c r="B30" s="3">
        <v>1</v>
      </c>
      <c r="C30" s="4" t="s">
        <v>65</v>
      </c>
      <c r="D30" s="5">
        <v>3.99</v>
      </c>
      <c r="E30" s="3" t="s">
        <v>59</v>
      </c>
      <c r="F30" s="4" t="s">
        <v>66</v>
      </c>
      <c r="G30" s="5">
        <v>1.84</v>
      </c>
      <c r="H30" s="7" t="s">
        <v>11</v>
      </c>
    </row>
    <row r="31" spans="1:8" x14ac:dyDescent="0.35">
      <c r="A31" s="3" t="s">
        <v>67</v>
      </c>
      <c r="B31" s="3">
        <v>1</v>
      </c>
      <c r="C31" s="4" t="s">
        <v>68</v>
      </c>
      <c r="D31" s="5">
        <v>5.99</v>
      </c>
      <c r="E31" s="3" t="s">
        <v>59</v>
      </c>
      <c r="F31" s="4" t="s">
        <v>69</v>
      </c>
      <c r="G31" s="5">
        <v>2.75</v>
      </c>
      <c r="H31" s="7" t="s">
        <v>11</v>
      </c>
    </row>
    <row r="33" spans="1:1" x14ac:dyDescent="0.35">
      <c r="A33" s="14" t="s">
        <v>70</v>
      </c>
    </row>
    <row r="34" spans="1:1" x14ac:dyDescent="0.35">
      <c r="A34" s="15" t="s">
        <v>71</v>
      </c>
    </row>
    <row r="35" spans="1:1" x14ac:dyDescent="0.35">
      <c r="A35" s="15" t="s">
        <v>72</v>
      </c>
    </row>
    <row r="36" spans="1:1" x14ac:dyDescent="0.35">
      <c r="A36" s="15" t="s">
        <v>73</v>
      </c>
    </row>
    <row r="37" spans="1:1" x14ac:dyDescent="0.35">
      <c r="A37" s="15" t="s">
        <v>74</v>
      </c>
    </row>
  </sheetData>
  <mergeCells count="1">
    <mergeCell ref="A2:M2"/>
  </mergeCells>
  <conditionalFormatting sqref="D5:D7 D9:D10">
    <cfRule type="expression" dxfId="4" priority="8">
      <formula>D5&lt;#REF!</formula>
    </cfRule>
  </conditionalFormatting>
  <conditionalFormatting sqref="D8 D29:D31">
    <cfRule type="expression" dxfId="3" priority="2">
      <formula>D8&lt;G8</formula>
    </cfRule>
  </conditionalFormatting>
  <conditionalFormatting sqref="D11">
    <cfRule type="expression" dxfId="2" priority="1">
      <formula>D11&lt;G11</formula>
    </cfRule>
  </conditionalFormatting>
  <conditionalFormatting sqref="D12:D17">
    <cfRule type="expression" dxfId="1" priority="4">
      <formula>D12&lt;#REF!</formula>
    </cfRule>
  </conditionalFormatting>
  <conditionalFormatting sqref="G29:G31">
    <cfRule type="expression" dxfId="0" priority="10">
      <formula>G29&lt;D29</formula>
    </cfRule>
  </conditionalFormatting>
  <dataValidations count="1">
    <dataValidation type="list" allowBlank="1" sqref="E5:E17 E19 E23 H29:H31" xr:uid="{00000000-0002-0000-0100-000000000000}">
      <formula1>"Amazon,AliExpress,None"</formula1>
    </dataValidation>
  </dataValidations>
  <hyperlinks>
    <hyperlink ref="C5" r:id="rId1" xr:uid="{00000000-0004-0000-0100-000000000000}"/>
    <hyperlink ref="C6" r:id="rId2" xr:uid="{00000000-0004-0000-0100-000001000000}"/>
    <hyperlink ref="C7" r:id="rId3" xr:uid="{00000000-0004-0000-0100-000002000000}"/>
    <hyperlink ref="C8" r:id="rId4" xr:uid="{00000000-0004-0000-0100-000003000000}"/>
    <hyperlink ref="C9" r:id="rId5" xr:uid="{00000000-0004-0000-0100-000004000000}"/>
    <hyperlink ref="C10" r:id="rId6" xr:uid="{00000000-0004-0000-0100-000005000000}"/>
    <hyperlink ref="C11" r:id="rId7" xr:uid="{00000000-0004-0000-0100-000006000000}"/>
    <hyperlink ref="C12" r:id="rId8" xr:uid="{00000000-0004-0000-0100-000007000000}"/>
    <hyperlink ref="C13" r:id="rId9" xr:uid="{00000000-0004-0000-0100-000008000000}"/>
    <hyperlink ref="C14" r:id="rId10" xr:uid="{00000000-0004-0000-0100-000009000000}"/>
    <hyperlink ref="C15" r:id="rId11" xr:uid="{00000000-0004-0000-0100-00000A000000}"/>
    <hyperlink ref="C16" r:id="rId12" xr:uid="{00000000-0004-0000-0100-00000B000000}"/>
    <hyperlink ref="C17" r:id="rId13" xr:uid="{00000000-0004-0000-0100-00000C000000}"/>
    <hyperlink ref="C19" r:id="rId14" xr:uid="{00000000-0004-0000-0100-00000D000000}"/>
    <hyperlink ref="A23" r:id="rId15" xr:uid="{00000000-0004-0000-0100-00000E000000}"/>
    <hyperlink ref="C23" r:id="rId16" xr:uid="{00000000-0004-0000-0100-00000F000000}"/>
    <hyperlink ref="A24" r:id="rId17" xr:uid="{00000000-0004-0000-0100-000010000000}"/>
    <hyperlink ref="A25" r:id="rId18" xr:uid="{00000000-0004-0000-0100-000011000000}"/>
    <hyperlink ref="A26" r:id="rId19" xr:uid="{00000000-0004-0000-0100-000012000000}"/>
    <hyperlink ref="A27" r:id="rId20" xr:uid="{00000000-0004-0000-0100-000013000000}"/>
    <hyperlink ref="A28" r:id="rId21" xr:uid="{00000000-0004-0000-0100-000014000000}"/>
    <hyperlink ref="C29" r:id="rId22" xr:uid="{00000000-0004-0000-0100-000015000000}"/>
    <hyperlink ref="F29" r:id="rId23" xr:uid="{00000000-0004-0000-0100-000016000000}"/>
    <hyperlink ref="C30" r:id="rId24" xr:uid="{00000000-0004-0000-0100-000017000000}"/>
    <hyperlink ref="F30" r:id="rId25" xr:uid="{00000000-0004-0000-0100-000018000000}"/>
    <hyperlink ref="C31" r:id="rId26" xr:uid="{00000000-0004-0000-0100-000019000000}"/>
    <hyperlink ref="F31" r:id="rId27" xr:uid="{00000000-0004-0000-0100-00001A000000}"/>
  </hyperlink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Parts</vt:lpstr>
      <vt:lpstr>Buying</vt:lpstr>
      <vt:lpstr>Buying!Print_Titles</vt:lpstr>
      <vt:lpstr>Parts!Print_Titles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Asher Niedzwiedz</cp:lastModifiedBy>
  <dcterms:created xsi:type="dcterms:W3CDTF">2026-10-21T04:53:49Z</dcterms:created>
  <dcterms:modified xsi:type="dcterms:W3CDTF">2026-10-21T20:26:50Z</dcterms:modified>
</cp:coreProperties>
</file>